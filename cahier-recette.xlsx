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iste Test" sheetId="1" state="visible" r:id="rId3"/>
    <sheet name="Sta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<sst xmlns="http://schemas.openxmlformats.org/spreadsheetml/2006/main" count="697" uniqueCount="360">
  <si>
    <t xml:space="preserve">Environnement : Chrome 143 &gt; ou Firefox 145 &gt; </t>
  </si>
  <si>
    <t xml:space="preserve">Exigence</t>
  </si>
  <si>
    <t xml:space="preserve">Nom</t>
  </si>
  <si>
    <t xml:space="preserve">Fonctionnalité</t>
  </si>
  <si>
    <t xml:space="preserve">Prérequis</t>
  </si>
  <si>
    <t xml:space="preserve">Étape à réaliser</t>
  </si>
  <si>
    <t xml:space="preserve">Résultat attendu</t>
  </si>
  <si>
    <t xml:space="preserve">Résultat </t>
  </si>
  <si>
    <t xml:space="preserve">Statut du test</t>
  </si>
  <si>
    <t xml:space="preserve">Priorité</t>
  </si>
  <si>
    <t xml:space="preserve">Commentaire</t>
  </si>
  <si>
    <t xml:space="preserve">Connexion</t>
  </si>
  <si>
    <t xml:space="preserve">CONNEXION-1</t>
  </si>
  <si>
    <t xml:space="preserve">Connexion </t>
  </si>
  <si>
    <t xml:space="preserve">Ne pas être logué</t>
  </si>
  <si>
    <t xml:space="preserve">Lancer le site, sur la page principale, Ne pas être connecté</t>
  </si>
  <si>
    <t xml:space="preserve">L’utilisateur est automatiquement redirigé vers la page de connexion</t>
  </si>
  <si>
    <t xml:space="preserve">Passe sans poser de problème, la redirection est bien éffectué</t>
  </si>
  <si>
    <t xml:space="preserve">OK</t>
  </si>
  <si>
    <t xml:space="preserve">CONNEXION-2</t>
  </si>
  <si>
    <t xml:space="preserve">Connexion avec succès de l’utilisateur</t>
  </si>
  <si>
    <t xml:space="preserve">Lancer le site, sur la page de login
Ne pas être connecté et se connecter avec des identifiants utilisateur valide</t>
  </si>
  <si>
    <t xml:space="preserve">Redirection vers la page d’acceuil de l’utilisateur, il est connecté, on peut le voir avec le nom d’utilisateur en haut a droite</t>
  </si>
  <si>
    <t xml:space="preserve">Redirection vers la page d’acceuil de l’utilisateur</t>
  </si>
  <si>
    <t xml:space="preserve">CONNEXION-3</t>
  </si>
  <si>
    <t xml:space="preserve">Connexion avec succès de l’administrateur</t>
  </si>
  <si>
    <r>
      <rPr>
        <sz val="10"/>
        <rFont val="Arial"/>
        <family val="0"/>
        <charset val="1"/>
      </rPr>
      <t xml:space="preserve">Lancer le site, sur la page de login
Ne pas être connecté et se connecter avec des identifiants </t>
    </r>
    <r>
      <rPr>
        <b val="true"/>
        <sz val="10"/>
        <rFont val="Arial"/>
        <family val="0"/>
        <charset val="1"/>
      </rPr>
      <t xml:space="preserve">administrateur</t>
    </r>
    <r>
      <rPr>
        <sz val="10"/>
        <rFont val="Arial"/>
        <family val="0"/>
        <charset val="1"/>
      </rPr>
      <t xml:space="preserve"> valide</t>
    </r>
  </si>
  <si>
    <t xml:space="preserve">Redirection vers la page d’acceuil de l’utilisateur, il est connecté, on peut le voir avec le nom d’utilisateur en haut a droite, de plus un bouton d’accès a l’interface administrateur devrais être visible</t>
  </si>
  <si>
    <t xml:space="preserve">Redirection vers la page d’acceuil de l’administrateur, le bouton de gestion de l’application est bien visible</t>
  </si>
  <si>
    <t xml:space="preserve">CONNEXION-4</t>
  </si>
  <si>
    <t xml:space="preserve">Connexion érroné de l’utilisateur</t>
  </si>
  <si>
    <r>
      <rPr>
        <sz val="10"/>
        <rFont val="Arial"/>
        <family val="0"/>
        <charset val="1"/>
      </rPr>
      <t xml:space="preserve">Lancer le site, sur la page de login
Ne pas être connecté et se connecter avec des identifiants </t>
    </r>
    <r>
      <rPr>
        <b val="true"/>
        <sz val="10"/>
        <rFont val="Arial"/>
        <family val="0"/>
        <charset val="1"/>
      </rPr>
      <t xml:space="preserve">utilisateur</t>
    </r>
    <r>
      <rPr>
        <sz val="10"/>
        <rFont val="Arial"/>
        <family val="0"/>
        <charset val="1"/>
      </rPr>
      <t xml:space="preserve"> invalide</t>
    </r>
  </si>
  <si>
    <t xml:space="preserve">Un message d’erreur est affiché et l’identifiant/mot de passe est conservé dans les champs de saisies pour qu’il puissent être modifié de plus le nombre de tentative restante est affiché (au nombre de 5 au total)</t>
  </si>
  <si>
    <t xml:space="preserve">Il y a uniquement un message d’erreur qui est affiché mais les infos de connexions érroné sont bien conservé dans les champs de saisie</t>
  </si>
  <si>
    <t xml:space="preserve">Fix réalisé pour empécher un rechargement de la page a chaque login érroné (ce qui supprimé les infos de login érroné)</t>
  </si>
  <si>
    <t xml:space="preserve">CONNEXION-5</t>
  </si>
  <si>
    <t xml:space="preserve">L’utilisateur se connecte pour la première fois a son compte à l’aide des identifiants fourni pas l’administrateur</t>
  </si>
  <si>
    <r>
      <rPr>
        <sz val="10"/>
        <rFont val="Arial"/>
        <family val="0"/>
        <charset val="1"/>
      </rPr>
      <t xml:space="preserve">Test </t>
    </r>
    <r>
      <rPr>
        <b val="true"/>
        <sz val="10"/>
        <rFont val="Arial"/>
        <family val="0"/>
        <charset val="1"/>
      </rPr>
      <t xml:space="preserve">Création d’un utilisateur</t>
    </r>
    <r>
      <rPr>
        <sz val="10"/>
        <rFont val="Arial"/>
        <family val="0"/>
        <charset val="1"/>
      </rPr>
      <t xml:space="preserve"> nécéssaire en utilisant les mêmes identifiants</t>
    </r>
  </si>
  <si>
    <t xml:space="preserve">Lancer le site sur la page de connexion et utiliser les identifiants d’un utilisateur existant.</t>
  </si>
  <si>
    <t xml:space="preserve">L’utilisateur est automatiquement redirigé vers la page d’acceuil.et il voit son nom en haut à droite de plus il lui est demander de modifier son mot de passe</t>
  </si>
  <si>
    <t xml:space="preserve">La redirection est correctement éfféctué</t>
  </si>
  <si>
    <t xml:space="preserve">CONNEXION-6</t>
  </si>
  <si>
    <t xml:space="preserve">L’utilisateur est bloqué si il fait 5 tentative erroné</t>
  </si>
  <si>
    <t xml:space="preserve">Avoir fait 4 tentative erroné</t>
  </si>
  <si>
    <t xml:space="preserve">Sur la page de connexion pour un même e-mail valide faire 5 tentatives avec un mot de passe erroné</t>
  </si>
  <si>
    <t xml:space="preserve">L’utilisateur avec l’adresse e-mail indiqué est bloqué pendant 30 minutes et le bouton connexion deviens grisé, le temps restant du bloquage est affiché.</t>
  </si>
  <si>
    <t xml:space="preserve">Gestion utilisateurs</t>
  </si>
  <si>
    <t xml:space="preserve">USER-1</t>
  </si>
  <si>
    <t xml:space="preserve">Création de l’utilisateur et retour des informations pour l’utilisateur</t>
  </si>
  <si>
    <t xml:space="preserve">Être logué en tant qu’administrateur</t>
  </si>
  <si>
    <t xml:space="preserve">Sur la page administrateur, cliqué sur le bouton créer un utilisateur, indiquer son e-mail valide et n’ont utilisé par un autre utilisateur</t>
  </si>
  <si>
    <t xml:space="preserve">Un mot de passe temporaire pour l’utilisateur est indiqué à l’administrateur, pour qu’il soit transmi a l’utilisateur</t>
  </si>
  <si>
    <t xml:space="preserve">KO</t>
  </si>
  <si>
    <t xml:space="preserve">Le mot de passe temporaire n’est jamais renvoyé</t>
  </si>
  <si>
    <t xml:space="preserve">USER-2</t>
  </si>
  <si>
    <t xml:space="preserve">L’administrateur supprime un utilisateur</t>
  </si>
  <si>
    <t xml:space="preserve">Sur le site, aller sur la page de gestion de l’administrateur dans la rubrique gestion des joueurs et supprimer un joueur existant en appuyant sur le profil d’un utilisateur et en cliquant ensuite sur modifier
</t>
  </si>
  <si>
    <t xml:space="preserve">Un message indiquant que l’opération a bien pu être appliqué et l’administrateur est redirigé vers la liste des utilisateurs</t>
  </si>
  <si>
    <t xml:space="preserve">USER-3</t>
  </si>
  <si>
    <t xml:space="preserve">Vérirfication de la validité du numéro de licence</t>
  </si>
  <si>
    <t xml:space="preserve">Sur la page administrateur, cliqué sur le bouton créer un utilisateur, indiquer son e-mail valide mais un numéro de licence invalide (ex : B2562530)</t>
  </si>
  <si>
    <t xml:space="preserve">Un message d’erreur est affiché indiquant que le numéro de licence est mal formaté</t>
  </si>
  <si>
    <t xml:space="preserve">USER-004</t>
  </si>
  <si>
    <t xml:space="preserve">Verification du mot de passe</t>
  </si>
  <si>
    <r>
      <rPr>
        <sz val="10"/>
        <rFont val="Arial"/>
        <family val="0"/>
        <charset val="1"/>
      </rPr>
      <t xml:space="preserve">Lancer le site, sur la page de création d’utilisateur
Ne pas être connecté et indiquer des identifiants utilisateur valide et </t>
    </r>
    <r>
      <rPr>
        <b val="true"/>
        <sz val="10"/>
        <rFont val="Arial"/>
        <family val="0"/>
        <charset val="1"/>
      </rPr>
      <t xml:space="preserve">un mot de passe de moins de 12 caractères</t>
    </r>
    <r>
      <rPr>
        <sz val="10"/>
        <rFont val="Arial"/>
        <family val="0"/>
        <charset val="1"/>
      </rPr>
      <t xml:space="preserve">, le mot de passe tésté doit contenir des caractère spéciaux ( !, @, #, …) des chiffres, des majuscules, des minuscules, et ne doit pas contenir d’espace</t>
    </r>
  </si>
  <si>
    <t xml:space="preserve">Erreur indiquant que le mot de passe contient trop peu de caractère</t>
  </si>
  <si>
    <t xml:space="preserve">Une erreur est bien affiché en informant l’utilisateur que son mot de passe doit contenir plus de caractère</t>
  </si>
  <si>
    <t xml:space="preserve">USER-5</t>
  </si>
  <si>
    <r>
      <rPr>
        <sz val="10"/>
        <rFont val="Arial"/>
        <family val="0"/>
        <charset val="1"/>
      </rPr>
      <t xml:space="preserve">Lancer le site, sur la page de création d’utilisateur
Ne pas être connecté et indiquer des identifiants utilisateur valide et </t>
    </r>
    <r>
      <rPr>
        <b val="true"/>
        <sz val="10"/>
        <rFont val="Arial"/>
        <family val="0"/>
        <charset val="1"/>
      </rPr>
      <t xml:space="preserve">un mot de passe de plus de 60 caractère</t>
    </r>
    <r>
      <rPr>
        <sz val="10"/>
        <rFont val="Arial"/>
        <family val="0"/>
        <charset val="1"/>
      </rPr>
      <t xml:space="preserve">, le mot de passe tésté doit contenir des caractère spéciaux ( !, @, #, …) des chiffres, des majuscules, des minuscules, et ne doit pas contenir d’espace</t>
    </r>
  </si>
  <si>
    <t xml:space="preserve">Erreur indiquant que le mot de passe contient trop de caractère</t>
  </si>
  <si>
    <t xml:space="preserve">Une erreur est bien affiché en informant l’utilisateur que son mot de passe doit contenir moins de caractère</t>
  </si>
  <si>
    <t xml:space="preserve">USER-6</t>
  </si>
  <si>
    <r>
      <rPr>
        <sz val="10"/>
        <rFont val="Arial"/>
        <family val="0"/>
        <charset val="1"/>
      </rPr>
      <t xml:space="preserve">Lancer le site, sur la page de création d’utilisateur
Ne pas être connecté et indiquer des identifiants utilisateur valide et un mot de passe compris entre 12 et 60 caractère et contenir des chiffres, des majuscules, des minuscules, et ne doit pas contenir d’espace, </t>
    </r>
    <r>
      <rPr>
        <b val="true"/>
        <sz val="10"/>
        <rFont val="Arial"/>
        <family val="0"/>
        <charset val="1"/>
      </rPr>
      <t xml:space="preserve">le mot de passe tésté ne doit pas contenir des caractère spéciaux ( !, @, #, …)</t>
    </r>
    <r>
      <rPr>
        <sz val="10"/>
        <rFont val="Arial"/>
        <family val="0"/>
        <charset val="1"/>
      </rPr>
      <t xml:space="preserve">.</t>
    </r>
  </si>
  <si>
    <t xml:space="preserve">Erreur indiquant que le mot de passe contient pas de caractère spéciaux</t>
  </si>
  <si>
    <t xml:space="preserve">USER-7</t>
  </si>
  <si>
    <r>
      <rPr>
        <sz val="10"/>
        <rFont val="Arial"/>
        <family val="0"/>
        <charset val="1"/>
      </rPr>
      <t xml:space="preserve">Lancer le site, sur la page de création d’utilisateur
Ne pas être connecté et indiquer des identifiants utilisateur valide et un mot de passe compris entre 12 et 60 caractère et contenir des caractère spéciaux ( !, @, #, …), des chiffres, des majuscules, des minuscules, </t>
    </r>
    <r>
      <rPr>
        <b val="true"/>
        <sz val="10"/>
        <rFont val="Arial"/>
        <family val="0"/>
        <charset val="1"/>
      </rPr>
      <t xml:space="preserve">et doit contenir un ou plusieurs espaces.</t>
    </r>
  </si>
  <si>
    <t xml:space="preserve">Erreur indiquant que le mot de passe contient un espace</t>
  </si>
  <si>
    <t xml:space="preserve">USER-8</t>
  </si>
  <si>
    <r>
      <rPr>
        <sz val="10"/>
        <rFont val="Arial"/>
        <family val="0"/>
        <charset val="1"/>
      </rPr>
      <t xml:space="preserve">Lancer le site, sur la page de création d’utilisateur
Ne pas être connecté et indiquer des identifiants utilisateur valide et un mot de passe compris entre 12 et 60 caractère et contenir des caractère spéciaux ( !, @, #, …), des chiffres, des minuscules, et ne contient pas d’espace, cependant </t>
    </r>
    <r>
      <rPr>
        <b val="true"/>
        <sz val="10"/>
        <rFont val="Arial"/>
        <family val="0"/>
        <charset val="1"/>
      </rPr>
      <t xml:space="preserve">le mot de passe contient aucune majuscule</t>
    </r>
  </si>
  <si>
    <t xml:space="preserve">Erreur indiquant que le mot de passe contient aucune majuscule</t>
  </si>
  <si>
    <t xml:space="preserve">USER-9</t>
  </si>
  <si>
    <r>
      <rPr>
        <sz val="10"/>
        <rFont val="Arial"/>
        <family val="0"/>
        <charset val="1"/>
      </rPr>
      <t xml:space="preserve">Lancer le site, sur la page de création d’utilisateur
Ne pas être connecté et indiquer des identifiants utilisateur valide et un mot de passe compris entre 12 et 60 caractère et contenir des caractère spéciaux ( !, @, #, …), des chiffres, des majuscules, et ne contient pas d’espace, cependant </t>
    </r>
    <r>
      <rPr>
        <b val="true"/>
        <sz val="10"/>
        <rFont val="Arial"/>
        <family val="0"/>
        <charset val="1"/>
      </rPr>
      <t xml:space="preserve">le mot de passe contient aucune minuscule</t>
    </r>
  </si>
  <si>
    <t xml:space="preserve">Erreur indiquant que le mot de passe contient aucune minuscule</t>
  </si>
  <si>
    <t xml:space="preserve">USER-10</t>
  </si>
  <si>
    <r>
      <rPr>
        <sz val="10"/>
        <rFont val="Arial"/>
        <family val="0"/>
        <charset val="1"/>
      </rPr>
      <t xml:space="preserve">Lancer le site, sur la page de création d’utilisateur
Ne pas être connecté et indiquer des identifiants utilisateur valide et un mot de passe compris entre 12 et 60 caractère et contenir des caractère spéciaux ( !, @, #, …), des minuscules et des majuscules, et ne contient pas d’espace, cependant </t>
    </r>
    <r>
      <rPr>
        <b val="true"/>
        <sz val="10"/>
        <rFont val="Arial"/>
        <family val="0"/>
        <charset val="1"/>
      </rPr>
      <t xml:space="preserve">le mot de passe contient aucun chiffre</t>
    </r>
  </si>
  <si>
    <t xml:space="preserve">Erreur indiquant que le mot de passe contient aucun chiffre</t>
  </si>
  <si>
    <t xml:space="preserve">USER-11</t>
  </si>
  <si>
    <t xml:space="preserve">Verification de la différence entre l’ancien et le nouveau mot de passe</t>
  </si>
  <si>
    <t xml:space="preserve">Être logué en tant qu’utilisateur</t>
  </si>
  <si>
    <t xml:space="preserve">Sur la page de modification du mot de passe indiqué le mot de passe actuel et dans le champs pour le nouveau mot de passe indiqué aussi le mot de passe actuel.</t>
  </si>
  <si>
    <t xml:space="preserve">Erreur indiquant que les mots de passe sont identique</t>
  </si>
  <si>
    <t xml:space="preserve">NON APPLICABLE</t>
  </si>
  <si>
    <t xml:space="preserve">Feature non codé</t>
  </si>
  <si>
    <t xml:space="preserve">Planning</t>
  </si>
  <si>
    <t xml:space="preserve">PLANNING-1</t>
  </si>
  <si>
    <t xml:space="preserve">Accéder a la page du planning si on est connecté</t>
  </si>
  <si>
    <t xml:space="preserve">Sur la page d’acceuil de l’utilisateur accéder à l’onglet planning dans la barre de navigation</t>
  </si>
  <si>
    <t xml:space="preserve">L’utilisateur est redirigé vers la page planning</t>
  </si>
  <si>
    <t xml:space="preserve">L’utilisateur est bien redirigé</t>
  </si>
  <si>
    <t xml:space="preserve">PLANNING-2</t>
  </si>
  <si>
    <t xml:space="preserve">Accéder au planning sans avoir les permissions</t>
  </si>
  <si>
    <t xml:space="preserve">Sur la page de connexion dans la barre url, remplacer le /login par /planning</t>
  </si>
  <si>
    <t xml:space="preserve">PLANNING-3</t>
  </si>
  <si>
    <t xml:space="preserve">Utilisation du filtre pour voir uniquement ses propres matches</t>
  </si>
  <si>
    <t xml:space="preserve">Être connecté en tant qu’utilisateur</t>
  </si>
  <si>
    <t xml:space="preserve">Sur la page du planning décocher l’option « Voir mes matches » </t>
  </si>
  <si>
    <t xml:space="preserve">L’utilisateur voit désormais l’ensembles des matches et plus seulement les siens, il peut a tout moment réappliquer le filtre</t>
  </si>
  <si>
    <t xml:space="preserve">Le filtre est bien appliqué et retiré a la demande</t>
  </si>
  <si>
    <t xml:space="preserve">PLANNING-4</t>
  </si>
  <si>
    <t xml:space="preserve">Pouvoir faire défiler les mois du planning</t>
  </si>
  <si>
    <t xml:space="preserve">Sur la page du planning appuyer sur le bouton pour le mois suivant</t>
  </si>
  <si>
    <t xml:space="preserve">L’utilisateur doit voir le mois suivant le mois courant</t>
  </si>
  <si>
    <t xml:space="preserve">Le mois suivant est bien affiché</t>
  </si>
  <si>
    <t xml:space="preserve">PLANNING-5</t>
  </si>
  <si>
    <t xml:space="preserve">Sélectionner une journée précise dans le calendrier et pouvoir voir les matches de cette journée en détails</t>
  </si>
  <si>
    <t xml:space="preserve">Sur la page planning, cliquer sur un jour avec une match.</t>
  </si>
  <si>
    <t xml:space="preserve">L’utilisateur voit désormais en haut le détails de la journée et l’ensemble des matches planifiés.</t>
  </si>
  <si>
    <t xml:space="preserve">Le détails des matches est bien visible</t>
  </si>
  <si>
    <t xml:space="preserve">PLANNING-6</t>
  </si>
  <si>
    <t xml:space="preserve">L’administrateur peut ajouter un événement à un jour précis</t>
  </si>
  <si>
    <t xml:space="preserve">Être connecté en tant qu’administrateur</t>
  </si>
  <si>
    <t xml:space="preserve">Sur la page planning, cliquer sur un jour, une pop up devrais apparaître et proposer de voir les événements ou d’en ajouter un, cliquer sur ce dernier.</t>
  </si>
  <si>
    <t xml:space="preserve">L’administrateur a accès a un formulaire pour créer l’événement.</t>
  </si>
  <si>
    <t xml:space="preserve">PLANNING-7</t>
  </si>
  <si>
    <t xml:space="preserve">Listes des informations pour une journée en particulier</t>
  </si>
  <si>
    <t xml:space="preserve">Être sur la page d’un jour en particulier dans la rubrique planning</t>
  </si>
  <si>
    <t xml:space="preserve">L’utilisateur voit la liste des événements leurs heures respective, les matches par événement, et les équipes pour chaque matches avec les filtres</t>
  </si>
  <si>
    <t xml:space="preserve">PLANNING-8</t>
  </si>
  <si>
    <t xml:space="preserve">Listes des informations pour une journée en particulier et possibilité de modification pour l’administrateur.</t>
  </si>
  <si>
    <t xml:space="preserve">Sur le détails d’une journée dans le planning en tant qu’administrateur</t>
  </si>
  <si>
    <t xml:space="preserve">L’administrateur doit pouvoir modifier un événement (nom, heure) et le supprimer</t>
  </si>
  <si>
    <t xml:space="preserve">Événements</t>
  </si>
  <si>
    <t xml:space="preserve">EVENT-1</t>
  </si>
  <si>
    <t xml:space="preserve">L’administrateur doit pouvoir ajouter un événement en y spécifiant l’ensemble des informations</t>
  </si>
  <si>
    <t xml:space="preserve">Sur la page planning, cliquer sur un jour puis sur le bouton ajouter un événement, ensuite remplir les champs date (mettre une date futur, ou aujourd’hui), l’heure (future si date = aujourd’hui), et y ajouter un match et une  équipe</t>
  </si>
  <si>
    <t xml:space="preserve">Un nouvelle événement apparaît dans les événements planifié de la journée</t>
  </si>
  <si>
    <t xml:space="preserve">EVENT-2</t>
  </si>
  <si>
    <t xml:space="preserve">L’administrateur ajoute un événement avec une date passé</t>
  </si>
  <si>
    <t xml:space="preserve">Sur la page planning, cliquer sur un jour puis sur le bouton ajouter un événement, ensuite remplir les champs date (mettre une date antérieur a la date actuel ou aujourd’hui, ou aujourd’hui), l’heure (passé si date = aujourd’hui), et y ajouter un match et une équipe, le test devra être fait avec une date antérieur et une heure antérieur uniquement</t>
  </si>
  <si>
    <t xml:space="preserve">Un message d’erreur est affiché en refusant de créer l’événement, le champ date doit être modifié</t>
  </si>
  <si>
    <t xml:space="preserve">EVENT-3</t>
  </si>
  <si>
    <t xml:space="preserve">L’administrateur ajoute un événement avec deux matches sur la même piste ce qui est interdit</t>
  </si>
  <si>
    <t xml:space="preserve">Sur la page planning, cliquer sur un jour et ajouter un événement, ensuite indiquant un ensemble d’information valide excepté qu’un match est assigné sur une piste déjà assigné</t>
  </si>
  <si>
    <t xml:space="preserve">Un message d’erreur est affiché indiquant que le numéro de piste est déjà pris et l’utilisateur doit le changer</t>
  </si>
  <si>
    <t xml:space="preserve">EVENT-4</t>
  </si>
  <si>
    <t xml:space="preserve">Restriction dans le cas où l’équipe est en doublon dans un match</t>
  </si>
  <si>
    <t xml:space="preserve">Sur la page planning, cliquer sur un jour et ajouter un événement, ensuite indiquant un ensemble d’information valide excepté qu’un match ou deux fois la même équipe est sélectionné</t>
  </si>
  <si>
    <t xml:space="preserve">Un message d’erreur est affiché, empêchant la validation du formulaire, et indiquant qu’une équipe ne peut pas s’affronter elle même.</t>
  </si>
  <si>
    <t xml:space="preserve">EVENT-5</t>
  </si>
  <si>
    <t xml:space="preserve">Restriction dans le cas où l’équipe est inscrite dans deux match en simultané</t>
  </si>
  <si>
    <t xml:space="preserve">Sur la page planning, cliquer sur un jour et ajouter un événement, ensuite indiquant un ensemble d’information valide excepté que l’équipe assigné a un match est déjà assigné a un autre match en simultané</t>
  </si>
  <si>
    <t xml:space="preserve">Un message d’erreur est affiché, empêchant la validation du formulaire, et indiquant qu’une équipe ne peut pas effectuer deux matches en simultanés </t>
  </si>
  <si>
    <t xml:space="preserve">EVENT-6</t>
  </si>
  <si>
    <t xml:space="preserve">Insertion typique d’un événement avec plusieurs matches</t>
  </si>
  <si>
    <t xml:space="preserve">Sur la page planning, cliquer sur un jour et ajouter un événement, ensuite indiquant un ensemble d’information valide et 3 matches (le maximum)</t>
  </si>
  <si>
    <t xml:space="preserve">L’événement est inséré correctement et apparaît dans le planning, on peut y voir 3 matches dans le détail de l’événement</t>
  </si>
  <si>
    <t xml:space="preserve">Match</t>
  </si>
  <si>
    <t xml:space="preserve">MATCH-1</t>
  </si>
  <si>
    <t xml:space="preserve">Affichage les 30 prochains matchs</t>
  </si>
  <si>
    <t xml:space="preserve">Aller sur l’onglet Match</t>
  </si>
  <si>
    <t xml:space="preserve">L’utilisateur doit être redirigé vers la page des matches et voir les 30 prochains matches</t>
  </si>
  <si>
    <t xml:space="preserve">MATCH-2</t>
  </si>
  <si>
    <t xml:space="preserve">Affichage des matchs pour l’administrateur</t>
  </si>
  <si>
    <t xml:space="preserve">En etant connecté en tant qu’administrateur, aller dans l’onglet match</t>
  </si>
  <si>
    <t xml:space="preserve">L’administrateur a accès à l’ensemble des matches visible</t>
  </si>
  <si>
    <t xml:space="preserve">MATCH-3</t>
  </si>
  <si>
    <t xml:space="preserve">Filtrer les matchs pour une entreprise spécifique </t>
  </si>
  <si>
    <t xml:space="preserve">En etant connecté en tant qu’administrateur, aller dans l’onglet match, et filtrer par une une entreprise spécifique</t>
  </si>
  <si>
    <t xml:space="preserve">L’administrateur voit uniquement les matchs pour une entreprise spécifique</t>
  </si>
  <si>
    <t xml:space="preserve">MATCH-4</t>
  </si>
  <si>
    <t xml:space="preserve">Filtrer les matchs pour une poule spécifique </t>
  </si>
  <si>
    <t xml:space="preserve">En etant connecté en tant qu’administrateur, aller dans l’onglet match, et filtrer par une une poule spécifique</t>
  </si>
  <si>
    <t xml:space="preserve">L’administrateur voit uniquement les matchs pour une poule spécifique</t>
  </si>
  <si>
    <t xml:space="preserve">MATCH-5</t>
  </si>
  <si>
    <t xml:space="preserve">Filtrer les matchs pour un status spécifique</t>
  </si>
  <si>
    <t xml:space="preserve">En etant connecté en tant qu’administrateur, aller dans l’onglet match, et filtrer par un status (comme terminé)</t>
  </si>
  <si>
    <t xml:space="preserve">L’administrateur voit uniquement les matchs pour le status (par exmple terminé)</t>
  </si>
  <si>
    <t xml:space="preserve">MATCH-6</t>
  </si>
  <si>
    <t xml:space="preserve">Ajouter un match</t>
  </si>
  <si>
    <t xml:space="preserve">En etant connecté en tant qu’administrateur, aller dans l’onglet match, et ajouter un match en lui associent deux équipe valide, une date et une piste valide</t>
  </si>
  <si>
    <t xml:space="preserve">Un évènement sera ajouté dans le planning</t>
  </si>
  <si>
    <t xml:space="preserve">MATCH-7</t>
  </si>
  <si>
    <t xml:space="preserve">Ajouter un match avec une heure invalide</t>
  </si>
  <si>
    <t xml:space="preserve">En etant connecté en tant qu’administrateur, aller dans l’onglet match, et ajouter un match en lui associent deux équipe valide, une date et une piste valide mais l’heure sera incorrecte (par exemple 28h30)</t>
  </si>
  <si>
    <t xml:space="preserve">Une erreur sera affiché empéchant la validation du formulaire </t>
  </si>
  <si>
    <t xml:space="preserve">MATCH-8</t>
  </si>
  <si>
    <t xml:space="preserve">Ajouter un match, sur une piste déjà utilisé</t>
  </si>
  <si>
    <r>
      <rPr>
        <sz val="10"/>
        <rFont val="Arial"/>
        <family val="0"/>
        <charset val="1"/>
      </rPr>
      <t xml:space="preserve">En etant connecté en tant qu’administrateur, aller dans l’onglet match, et ajouter un match en lui associent deux équipe valide, une date et une piste déjà utilisé par un autre match sur le même crénaux 
</t>
    </r>
    <r>
      <rPr>
        <i val="true"/>
        <sz val="10"/>
        <rFont val="Arial"/>
        <family val="0"/>
        <charset val="1"/>
      </rPr>
      <t xml:space="preserve">(on peut aussi tester une piste déjà prise mais que sur un autre crénaux, ou le résultat devrais alors être une création avec succès du match)</t>
    </r>
  </si>
  <si>
    <t xml:space="preserve">On peut mettre 2 matchs avec la même piste</t>
  </si>
  <si>
    <t xml:space="preserve">MATCH-9</t>
  </si>
  <si>
    <t xml:space="preserve">Ajouter un 4ième match a un événement</t>
  </si>
  <si>
    <t xml:space="preserve">En etant connecté en tant qu’administrateur, aller dans l’onglet match, et ajouter un match a un événement déjà existant possédant 3 match</t>
  </si>
  <si>
    <t xml:space="preserve">Une erreur sera affiché empéchant la validation du formulaire, car un événement est limité a trois match</t>
  </si>
  <si>
    <t xml:space="preserve">On peut avoir plus que 4 match a un même event</t>
  </si>
  <si>
    <t xml:space="preserve">MATCH-10</t>
  </si>
  <si>
    <t xml:space="preserve">Ajouter un match entre deux fois la même équipe</t>
  </si>
  <si>
    <t xml:space="preserve">Sur la page des matchs ajouter un match entre deux fois la même équipe</t>
  </si>
  <si>
    <t xml:space="preserve">Une erreur sera affiché empéchant la validation du formulaire, car un match ne peut avoir lieu entre deux fois la même équipe.</t>
  </si>
  <si>
    <t xml:space="preserve">MATCH-11</t>
  </si>
  <si>
    <t xml:space="preserve">Modifier un match a venir</t>
  </si>
  <si>
    <t xml:space="preserve">Sur la page matchs sélectionner une match et modifier une date par exemple, enregistrer les modification.</t>
  </si>
  <si>
    <t xml:space="preserve">L’opération devrais être validé et les infos mise a jour</t>
  </si>
  <si>
    <t xml:space="preserve">MATCH-12</t>
  </si>
  <si>
    <t xml:space="preserve">Passage d’un match au statut terminé</t>
  </si>
  <si>
    <t xml:space="preserve">Modifier un match dans l’onglet match et passer son statut sur terminé</t>
  </si>
  <si>
    <t xml:space="preserve">Le statut du match est mise a jour</t>
  </si>
  <si>
    <t xml:space="preserve">La modification en status TERMINE d’un match que si la date est dépassé. Or, la page match montre UNIQUEMENT les match dans le futur, rendant ainsi impossible de mettre un match en status TERMINE</t>
  </si>
  <si>
    <t xml:space="preserve">MATCH-13</t>
  </si>
  <si>
    <t xml:space="preserve">Modification d’un match marqué comme terminé</t>
  </si>
  <si>
    <t xml:space="preserve">Modifier un match terminé dans l’onglet match</t>
  </si>
  <si>
    <t xml:space="preserve">Seule le score est modifiable, toutes autre information ne l’est pas</t>
  </si>
  <si>
    <t xml:space="preserve">MATCH-14</t>
  </si>
  <si>
    <t xml:space="preserve">Saisie invalide des scores</t>
  </si>
  <si>
    <t xml:space="preserve">Lors de la saisie des scores pour un match, saisir un score comme 7-1 par exemple</t>
  </si>
  <si>
    <t xml:space="preserve">La saisie du score est bloqué, car le score devrais être 7-5 ou 7-6</t>
  </si>
  <si>
    <t xml:space="preserve">MATCH-15</t>
  </si>
  <si>
    <t xml:space="preserve">Supprimer un match</t>
  </si>
  <si>
    <t xml:space="preserve">Cliquer sur l’icône supprimer d’un match et confirmer la suppression</t>
  </si>
  <si>
    <t xml:space="preserve">Le match est supprimé, le créneau sur la piste est libéré et si c’etait le seule match d’un événement, l’événement est supprimé</t>
  </si>
  <si>
    <t xml:space="preserve">Équipe</t>
  </si>
  <si>
    <t xml:space="preserve">TEAM-1</t>
  </si>
  <si>
    <t xml:space="preserve">Ajouter une équipe</t>
  </si>
  <si>
    <t xml:space="preserve">Dans la page administrateur, cliquer sur le bouton ajouter une équipe et remplir un nom (max 100 caractère)  et sélectionner 2 joueurs sans équipe</t>
  </si>
  <si>
    <t xml:space="preserve">Une équipe est ajouté a la liste des équipes</t>
  </si>
  <si>
    <t xml:space="preserve">TEAM-2</t>
  </si>
  <si>
    <t xml:space="preserve">Ajouter une équipe mais  </t>
  </si>
  <si>
    <t xml:space="preserve">Dans la page administrateur, cliquer sur le bouton ajouter une équipe et remplir un nom (max 100 caractère)  et sélectionner 2 fois le même joueur</t>
  </si>
  <si>
    <t xml:space="preserve">Une erreur indique que le joueur ne peut pas être sélectionné deux fois</t>
  </si>
  <si>
    <t xml:space="preserve">TEAM-3</t>
  </si>
  <si>
    <t xml:space="preserve">Modification d’une équipe n’ayant jamais joué</t>
  </si>
  <si>
    <t xml:space="preserve">Dans la page administrateur, dans la liste des équipe, modifier le noms et les joueurs d’une équipe n’ayant aucun match a son actif</t>
  </si>
  <si>
    <t xml:space="preserve">L’opération est correctement réalisé</t>
  </si>
  <si>
    <t xml:space="preserve">TEAM-4</t>
  </si>
  <si>
    <t xml:space="preserve">Modification d’une équipe ayant déjà joué</t>
  </si>
  <si>
    <t xml:space="preserve">Dans la page administrateur, dans la liste des équipe, modifier le noms et les joueurs d’une équipe ayant un ou plusieurs match a son actif</t>
  </si>
  <si>
    <t xml:space="preserve">Une erreur est affiché il est impossible de modifier une équipe ayant déjà joué</t>
  </si>
  <si>
    <t xml:space="preserve">TEAM-5</t>
  </si>
  <si>
    <t xml:space="preserve">Suppression d’une équipe n’ayant jamais joué</t>
  </si>
  <si>
    <t xml:space="preserve">Dans la page administrateur, dans la liste des équipe, supprimer une équipe n’ayant aucun match a son actif</t>
  </si>
  <si>
    <t xml:space="preserve">TEAM-6</t>
  </si>
  <si>
    <t xml:space="preserve">Suppression d’une équipe ayant déjà joué</t>
  </si>
  <si>
    <t xml:space="preserve">Dans la page administrateur, dans la liste des équipe, supprimer une équipe ayant un ou plusieurs match a son actif</t>
  </si>
  <si>
    <t xml:space="preserve">Une erreur est affiché il est impossible de supprimer une équipe ayant déjà joué</t>
  </si>
  <si>
    <t xml:space="preserve">TEAM-7</t>
  </si>
  <si>
    <t xml:space="preserve">Ajout d’une équipe avec deux joueurs d’entreprise différentes</t>
  </si>
  <si>
    <t xml:space="preserve">Dans la page administrateur, ajouter une équipe, lui attribuer un nom (peu importe tant qu’il est valide) et mettre deux joueurs d’équipe différente.</t>
  </si>
  <si>
    <t xml:space="preserve">Une erreur est affiché car une équipe est forcément constitué de deux employés de la même entreprise.</t>
  </si>
  <si>
    <t xml:space="preserve">On peut mettre n’importe quel joueur dans l’équipe</t>
  </si>
  <si>
    <t xml:space="preserve">Poule</t>
  </si>
  <si>
    <t xml:space="preserve">POOL-1</t>
  </si>
  <si>
    <t xml:space="preserve">Création d’une poule</t>
  </si>
  <si>
    <t xml:space="preserve">Sur l’onglet administrateur, cliquer sur le bouton ajouter une poule, puis saisir un identifiant unique et ensuite sélectionner exactement 6 équipes et valider.</t>
  </si>
  <si>
    <t xml:space="preserve">La poule est ajouté a la liste des poules</t>
  </si>
  <si>
    <t xml:space="preserve">On ne peut pas sélectionné les équipes</t>
  </si>
  <si>
    <t xml:space="preserve">POOL-2</t>
  </si>
  <si>
    <t xml:space="preserve">Création d’une poule, mais manque une équipe</t>
  </si>
  <si>
    <t xml:space="preserve">Sur l’onglet administrateur, cliquer sur le bouton ajouter une poule, puis saisir un identifiant unique et ensuite sélectionner seulement 5 équipes.</t>
  </si>
  <si>
    <t xml:space="preserve">Une erreur est affiché et le formulaire ne peut être validé car il manque 1 équipe</t>
  </si>
  <si>
    <t xml:space="preserve">POOL-3</t>
  </si>
  <si>
    <t xml:space="preserve">Création d’une poule avec un même nom qu’une poule existante</t>
  </si>
  <si>
    <t xml:space="preserve">Sur l’onglet administrateur, cliquer sur le bouton ajouter une poule, mais l’identifiant de la poule est déjà existant.</t>
  </si>
  <si>
    <t xml:space="preserve">Une erreur est affiché et le formulaire ne peut être validé car le nom de poule existe déjà</t>
  </si>
  <si>
    <t xml:space="preserve">Il faut exactement 6 équipes pour crée une poule. Du à l’insélection d’au moins une équipe. Le test n’est pas applicable dans ce cas spécifiques.</t>
  </si>
  <si>
    <t xml:space="preserve">POOL-4</t>
  </si>
  <si>
    <t xml:space="preserve">Modification d’une poule sans match joué</t>
  </si>
  <si>
    <t xml:space="preserve">Sur l’onglet administrateur, cliquer sur le bouton modifier une poule dans la liste des poules</t>
  </si>
  <si>
    <t xml:space="preserve">Il est possible d’effectuer toutes sorte de modification car la poule n’a jamais joué</t>
  </si>
  <si>
    <t xml:space="preserve">Impossible de modifier une poule</t>
  </si>
  <si>
    <t xml:space="preserve">POOL-5</t>
  </si>
  <si>
    <t xml:space="preserve">Modification d’une poule avec match joué</t>
  </si>
  <si>
    <t xml:space="preserve">Le bouton est normalement grisé et non fonctionnelle</t>
  </si>
  <si>
    <t xml:space="preserve">Le bouton n’est pas grisé, mais renvoie un message d’erreur si on tente de le modifier</t>
  </si>
  <si>
    <t xml:space="preserve">POOL-6</t>
  </si>
  <si>
    <t xml:space="preserve">Suppression d’une poule sans match joué</t>
  </si>
  <si>
    <t xml:space="preserve">Sur l’onglet administrateur, cliquer sur le bouton suppression une poule dans la liste des poules</t>
  </si>
  <si>
    <t xml:space="preserve">La poule est supprimé de la liste des poules</t>
  </si>
  <si>
    <t xml:space="preserve">ATTENTION : La poule refuse de se supprimer si il y a au moins une équipe dans la poule</t>
  </si>
  <si>
    <t xml:space="preserve">POOL-7</t>
  </si>
  <si>
    <t xml:space="preserve">Suppression d’une poule avec match joué</t>
  </si>
  <si>
    <t xml:space="preserve">Résultat</t>
  </si>
  <si>
    <t xml:space="preserve">RESULT-1</t>
  </si>
  <si>
    <t xml:space="preserve">Affichage des résultats pour un joueur</t>
  </si>
  <si>
    <t xml:space="preserve">Se rendre dans l’onglet résultat</t>
  </si>
  <si>
    <t xml:space="preserve">Le joueur accède a l’onglet résultat et il y voit ses matches récents, son classement personnel et le classement de son entreprise.</t>
  </si>
  <si>
    <t xml:space="preserve">RESULT-2</t>
  </si>
  <si>
    <t xml:space="preserve">Obtenir le détail d’un match personnel</t>
  </si>
  <si>
    <t xml:space="preserve">Se rendre dans l’onglet résultat et sélectionner une partie</t>
  </si>
  <si>
    <t xml:space="preserve">Le résultat du match (score), les noms et prénoms des adversaires et leurs entreprise, le numéro de la piste et la date sont affiché pour le match séléctionné</t>
  </si>
  <si>
    <t xml:space="preserve">La piste n’est juste pas affiché</t>
  </si>
  <si>
    <t xml:space="preserve">RESULT-3</t>
  </si>
  <si>
    <t xml:space="preserve">Match gagné dans les résultats</t>
  </si>
  <si>
    <t xml:space="preserve">Être connecté en tant qu’utilisateur ayant gagné une partie</t>
  </si>
  <si>
    <t xml:space="preserve">Les matchs gagné possède la mention victoire écrite en vert</t>
  </si>
  <si>
    <t xml:space="preserve">RESULT-4</t>
  </si>
  <si>
    <t xml:space="preserve">Match perdu dans les résultats</t>
  </si>
  <si>
    <t xml:space="preserve">Être connecté en tant qu’utilisateur ayant perdu une partie</t>
  </si>
  <si>
    <t xml:space="preserve">Les matchs gagné possède la mention Défaite écrite en rouge</t>
  </si>
  <si>
    <t xml:space="preserve">RESULT-5</t>
  </si>
  <si>
    <t xml:space="preserve">Classement des entreprises</t>
  </si>
  <si>
    <t xml:space="preserve">Les 3 entreprises disposant du plus de point sont respectivement médaille d’Or, d’Argent et de Bronze</t>
  </si>
  <si>
    <t xml:space="preserve">RESULT-6</t>
  </si>
  <si>
    <t xml:space="preserve">Détails des résultats d’une entreprise</t>
  </si>
  <si>
    <t xml:space="preserve">Se rendre dans l’onglet résultat et cliquer sur une entreprise</t>
  </si>
  <si>
    <t xml:space="preserve">Nombre de matchs joués affiché, avec en vert le nombre de victoire et en rouge le nombre de défaite</t>
  </si>
  <si>
    <t xml:space="preserve">RESULT-7</t>
  </si>
  <si>
    <t xml:space="preserve">Points attribué aux défaites et aux victoires</t>
  </si>
  <si>
    <t xml:space="preserve">Se rendre dans l’onglet résultat et regarder le détail de plusieurs matches</t>
  </si>
  <si>
    <t xml:space="preserve">regarder que pour un match 3 points sont attribué a une entreprise en cas de victoire et 0 en cas de défaite.</t>
  </si>
  <si>
    <t xml:space="preserve">Profil</t>
  </si>
  <si>
    <t xml:space="preserve">PROFIL-1</t>
  </si>
  <si>
    <t xml:space="preserve">Modification du nom et prénom</t>
  </si>
  <si>
    <t xml:space="preserve">Cliquer en haut droite sur l’e-mail pour accéder au profil ensuite cliquer sur modifier, et modifier les champs du nom et du prénom</t>
  </si>
  <si>
    <t xml:space="preserve">Les nouveaux noms et prénoms son mis a jour.</t>
  </si>
  <si>
    <t xml:space="preserve">PROFIL-2</t>
  </si>
  <si>
    <t xml:space="preserve">Modification de la date de naissance</t>
  </si>
  <si>
    <t xml:space="preserve">Cliquer en haut droite sur l’e-mail pour accéder au profil ensuite cliquer sur modifier, et modifier la date de naissance.</t>
  </si>
  <si>
    <t xml:space="preserve">La nouvelle date de naissance est validé si l’age est &gt; à 16 ans</t>
  </si>
  <si>
    <t xml:space="preserve">On peut mettre un age en dessous de 16 ans</t>
  </si>
  <si>
    <t xml:space="preserve">PROFIL-3</t>
  </si>
  <si>
    <t xml:space="preserve">Modification de l’e-mail</t>
  </si>
  <si>
    <t xml:space="preserve">Cliquer en haut droite sur l’e-mail pour accéder au profil ensuite cliquer sur modifier, et modifier l’e-mail</t>
  </si>
  <si>
    <t xml:space="preserve">Si l’e-mail est valide la modification est prise en compte sinon une erreur est affiché</t>
  </si>
  <si>
    <t xml:space="preserve">Impossible de modifier l’email</t>
  </si>
  <si>
    <t xml:space="preserve">PROFIL-4</t>
  </si>
  <si>
    <t xml:space="preserve">Ajouter une photo de profil</t>
  </si>
  <si>
    <t xml:space="preserve">Cliquer en haut droite sur l’e-mail pour accéder au profil ensuite cliquer sur modifier, et sélectionner une photo</t>
  </si>
  <si>
    <t xml:space="preserve">si la photo png ou jpg est entre 2Mo et 400 Mo alors elle est uploadé sur le server, et la photo de profil est modifié</t>
  </si>
  <si>
    <t xml:space="preserve">Ajouter une photo de profil trop grande</t>
  </si>
  <si>
    <t xml:space="preserve">Cliquer en haut droite sur l’e-mail pour accéder au profil ensuite cliquer sur modifier, et sélectionner une photo de plus de 400Mo</t>
  </si>
  <si>
    <t xml:space="preserve">La photo est refusé et une erreur est affiché dans la page profile</t>
  </si>
  <si>
    <t xml:space="preserve">PROFIL-5</t>
  </si>
  <si>
    <t xml:space="preserve">Ajouter un fichier comme photo de profil qui n’est pas un format valide</t>
  </si>
  <si>
    <t xml:space="preserve">Cliquer en haut droite sur l’e-mail pour accéder au profil ensuite cliquer sur modifier, et sélectionner un fichier autre qu’une image</t>
  </si>
  <si>
    <t xml:space="preserve">Le fichier est refusé et une erreur est affiché dans la page profile</t>
  </si>
  <si>
    <t xml:space="preserve">Gestion des accès</t>
  </si>
  <si>
    <t xml:space="preserve">ACCESS-1</t>
  </si>
  <si>
    <t xml:space="preserve">Visiteur n’accède pas a une page comme /planning</t>
  </si>
  <si>
    <t xml:space="preserve">dans l’URL taper le nom de domaine du site suivi de /planning</t>
  </si>
  <si>
    <t xml:space="preserve">L’utilisateur est automatiquement redirigé vers la page d’acceuil.</t>
  </si>
  <si>
    <t xml:space="preserve">ACCESS-2</t>
  </si>
  <si>
    <t xml:space="preserve">Visiteur ou utilisateur standard n’accède pas a une page comme /admin</t>
  </si>
  <si>
    <t xml:space="preserve">Être connecté en tant qu’utilisateur puis refaire le test sans être connecté</t>
  </si>
  <si>
    <t xml:space="preserve">dans l’URL taper le nom de domaine du site suivi de /admin</t>
  </si>
  <si>
    <t xml:space="preserve">ACCESS-3</t>
  </si>
  <si>
    <t xml:space="preserve">L’utilisateur n’a pas les permissions pour modifier le planning</t>
  </si>
  <si>
    <t xml:space="preserve">Aller sur l’onglet planning</t>
  </si>
  <si>
    <t xml:space="preserve">Il n’a a aucun bouton pour ajouter / modifier / supprimer un événement</t>
  </si>
  <si>
    <t xml:space="preserve">ACCESS-4</t>
  </si>
  <si>
    <t xml:space="preserve">L’utilisateur n’a pas les permissions pour modifier les matches</t>
  </si>
  <si>
    <t xml:space="preserve">Aller sur l’onglet matches</t>
  </si>
  <si>
    <t xml:space="preserve">Il n’a a aucun bouton pour ajouter / modifier / supprimer un matche</t>
  </si>
  <si>
    <t xml:space="preserve">ACCESS-5</t>
  </si>
  <si>
    <t xml:space="preserve">L’utilisateur n’a plus accès au page protégé si son token a expiré</t>
  </si>
  <si>
    <t xml:space="preserve">Attendre l’expiration du token (le plus simple reste de modifier la durée d’expiraition temporairement  pendant le développement pour mettre une durée très courte pour ce test puis rétablir par la suite la durée voulue).
Une fois la durée passé tenter d’accéder a des pages comme /planning</t>
  </si>
  <si>
    <t xml:space="preserve">L’utilisateur est automatiquement redirigé vers le login</t>
  </si>
  <si>
    <t xml:space="preserve">STATUT</t>
  </si>
  <si>
    <t xml:space="preserve">Quantité</t>
  </si>
  <si>
    <t xml:space="preserve">TODO</t>
  </si>
  <si>
    <t xml:space="preserve">IN PROGRESS</t>
  </si>
  <si>
    <t xml:space="preserve">Catégorie fonctionnel</t>
  </si>
</sst>
</file>

<file path=xl/styles.xml><?xml version="1.0" encoding="utf-8"?>
<styleSheet xmlns="http://schemas.openxmlformats.org/spreadsheetml/2006/main">
  <numFmts count="1">
    <numFmt numFmtId="164" formatCode="General"/>
  </numFmts>
  <fonts count="14">
    <font>
      <sz val="10"/>
      <color theme="1"/>
      <name val="Arial"/>
      <family val="0"/>
      <charset val="1"/>
    </font>
    <font>
      <sz val="10"/>
      <name val="Arial"/>
      <family val="0"/>
    </font>
    <font>
      <sz val="10"/>
      <name val="Arial"/>
      <family val="0"/>
    </font>
    <font>
      <sz val="10"/>
      <name val="Arial"/>
      <family val="0"/>
    </font>
    <font>
      <b val="true"/>
      <sz val="10"/>
      <color rgb="FF000080"/>
      <name val="Arial"/>
      <family val="0"/>
      <charset val="1"/>
    </font>
    <font>
      <b val="true"/>
      <sz val="10"/>
      <color rgb="FFFFFFFF"/>
      <name val="Arial"/>
      <family val="0"/>
      <charset val="1"/>
    </font>
    <font>
      <sz val="10"/>
      <color rgb="FF006600"/>
      <name val="Arial"/>
      <family val="0"/>
      <charset val="1"/>
    </font>
    <font>
      <sz val="10"/>
      <name val="Arial"/>
      <family val="0"/>
      <charset val="1"/>
    </font>
    <font>
      <b val="true"/>
      <sz val="10"/>
      <name val="Arial"/>
      <family val="0"/>
      <charset val="1"/>
    </font>
    <font>
      <i val="true"/>
      <sz val="10"/>
      <name val="Arial"/>
      <family val="0"/>
      <charset val="1"/>
    </font>
    <font>
      <sz val="10"/>
      <color rgb="FF006600"/>
      <name val="Times New Roman"/>
      <family val="1"/>
    </font>
    <font>
      <sz val="10"/>
      <color rgb="FF996600"/>
      <name val="Arial"/>
      <family val="0"/>
      <charset val="1"/>
    </font>
    <font>
      <i val="true"/>
      <sz val="10"/>
      <color rgb="FF808080"/>
      <name val="Arial"/>
      <family val="0"/>
      <charset val="1"/>
    </font>
    <font>
      <sz val="10"/>
      <color rgb="FF000000"/>
      <name val="Calibri"/>
      <family val="2"/>
    </font>
  </fonts>
  <fills count="18">
    <fill>
      <patternFill patternType="none"/>
    </fill>
    <fill>
      <patternFill patternType="gray125"/>
    </fill>
    <fill>
      <patternFill patternType="solid">
        <fgColor rgb="FFE6E6FF"/>
        <bgColor rgb="FFE6E6E6"/>
      </patternFill>
    </fill>
    <fill>
      <patternFill patternType="solid">
        <fgColor rgb="FF808080"/>
        <bgColor rgb="FF999999"/>
      </patternFill>
    </fill>
    <fill>
      <patternFill patternType="solid">
        <fgColor rgb="FFCCFFCC"/>
        <bgColor rgb="FFE6E6E6"/>
      </patternFill>
    </fill>
    <fill>
      <patternFill patternType="solid">
        <fgColor rgb="FFA27900"/>
        <bgColor rgb="FF996600"/>
      </patternFill>
    </fill>
    <fill>
      <patternFill patternType="solid">
        <fgColor rgb="FF5EB91E"/>
        <bgColor rgb="FF579D1C"/>
      </patternFill>
    </fill>
    <fill>
      <patternFill patternType="solid">
        <fgColor rgb="FFE16173"/>
        <bgColor rgb="FFA1467E"/>
      </patternFill>
    </fill>
    <fill>
      <patternFill patternType="solid">
        <fgColor rgb="FF5983B0"/>
        <bgColor rgb="FF4F81BD"/>
      </patternFill>
    </fill>
    <fill>
      <patternFill patternType="solid">
        <fgColor rgb="FF8D281E"/>
        <bgColor rgb="FF7E0021"/>
      </patternFill>
    </fill>
    <fill>
      <patternFill patternType="solid">
        <fgColor rgb="FF5B277D"/>
        <bgColor rgb="FF660066"/>
      </patternFill>
    </fill>
    <fill>
      <patternFill patternType="solid">
        <fgColor rgb="FF706E0C"/>
        <bgColor rgb="FF996600"/>
      </patternFill>
    </fill>
    <fill>
      <patternFill patternType="solid">
        <fgColor rgb="FF158466"/>
        <bgColor rgb="FF008080"/>
      </patternFill>
    </fill>
    <fill>
      <patternFill patternType="solid">
        <fgColor rgb="FFA1467E"/>
        <bgColor rgb="FF8D281E"/>
      </patternFill>
    </fill>
    <fill>
      <patternFill patternType="solid">
        <fgColor rgb="FFCC0000"/>
        <bgColor rgb="FF800000"/>
      </patternFill>
    </fill>
    <fill>
      <patternFill patternType="solid">
        <fgColor rgb="FFE6E6E6"/>
        <bgColor rgb="FFE6E6FF"/>
      </patternFill>
    </fill>
    <fill>
      <patternFill patternType="solid">
        <fgColor rgb="FFFFFFCC"/>
        <bgColor rgb="FFFFFFFF"/>
      </patternFill>
    </fill>
    <fill>
      <patternFill patternType="solid">
        <fgColor rgb="FFFFFFFF"/>
        <bgColor rgb="FFFFFFCC"/>
      </patternFill>
    </fill>
  </fills>
  <borders count="5">
    <border diagonalUp="false" diagonalDown="false">
      <left/>
      <right/>
      <top/>
      <bottom/>
      <diagonal/>
    </border>
    <border diagonalUp="false" diagonalDown="false">
      <left style="hair">
        <color rgb="FF000080"/>
      </left>
      <right/>
      <top style="hair">
        <color rgb="FF000080"/>
      </top>
      <bottom style="hair">
        <color rgb="FF000080"/>
      </bottom>
      <diagonal/>
    </border>
    <border diagonalUp="false" diagonalDown="false">
      <left style="hair">
        <color rgb="FF000080"/>
      </left>
      <right style="hair">
        <color rgb="FF000080"/>
      </right>
      <top style="hair">
        <color rgb="FF000080"/>
      </top>
      <bottom style="hair">
        <color rgb="FF000080"/>
      </bottom>
      <diagonal/>
    </border>
    <border diagonalUp="false" diagonalDown="false">
      <left/>
      <right style="hair">
        <color rgb="FF000080"/>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5" fillId="3" borderId="3"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true">
      <alignment horizontal="general" vertical="center" textRotation="0" wrapText="false" indent="0" shrinkToFit="false"/>
      <protection locked="true" hidden="true"/>
    </xf>
    <xf numFmtId="164" fontId="5" fillId="3"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false" hidden="false"/>
    </xf>
    <xf numFmtId="164" fontId="6" fillId="4" borderId="0" xfId="0" applyFont="true" applyBorder="false" applyAlignment="true" applyProtection="true">
      <alignment horizontal="general"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false" hidden="false"/>
    </xf>
    <xf numFmtId="164" fontId="5" fillId="5" borderId="3" xfId="0" applyFont="true" applyBorder="true" applyAlignment="true" applyProtection="false">
      <alignment horizontal="center" vertical="center" textRotation="0" wrapText="false" indent="0" shrinkToFit="false"/>
      <protection locked="true" hidden="false"/>
    </xf>
    <xf numFmtId="164" fontId="5" fillId="5" borderId="0" xfId="0" applyFont="true" applyBorder="true" applyAlignment="true" applyProtection="false">
      <alignment horizontal="general"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false" hidden="false"/>
    </xf>
    <xf numFmtId="164" fontId="0" fillId="0" borderId="0" xfId="0" applyFont="true" applyBorder="false" applyAlignment="true" applyProtection="true">
      <alignment horizontal="left" vertical="center" textRotation="0" wrapText="true" indent="0" shrinkToFit="false"/>
      <protection locked="false" hidden="false"/>
    </xf>
    <xf numFmtId="164" fontId="5" fillId="6" borderId="3"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tru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5" fillId="7" borderId="3" xfId="0" applyFont="true" applyBorder="true" applyAlignment="true" applyProtection="false">
      <alignment horizontal="center" vertical="center" textRotation="0" wrapText="false" indent="0" shrinkToFit="false"/>
      <protection locked="true" hidden="false"/>
    </xf>
    <xf numFmtId="164" fontId="5" fillId="7" borderId="0" xfId="0" applyFont="true" applyBorder="tru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4" fontId="5" fillId="8" borderId="3" xfId="0" applyFont="true" applyBorder="true" applyAlignment="true" applyProtection="false">
      <alignment horizontal="center" vertical="center" textRotation="0" wrapText="false" indent="0" shrinkToFit="false"/>
      <protection locked="true" hidden="false"/>
    </xf>
    <xf numFmtId="164" fontId="5" fillId="8" borderId="0" xfId="0" applyFont="true" applyBorder="tru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true">
      <alignment horizontal="general" vertical="center" textRotation="0" wrapText="false" indent="0" shrinkToFit="false"/>
      <protection locked="false" hidden="false"/>
    </xf>
    <xf numFmtId="164" fontId="5" fillId="9" borderId="3" xfId="0" applyFont="true" applyBorder="true" applyAlignment="true" applyProtection="false">
      <alignment horizontal="center" vertical="center" textRotation="0" wrapText="false" indent="0" shrinkToFit="false"/>
      <protection locked="true" hidden="false"/>
    </xf>
    <xf numFmtId="164" fontId="5" fillId="9" borderId="0" xfId="0" applyFont="true" applyBorder="tru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4" fontId="5" fillId="10" borderId="3" xfId="0" applyFont="true" applyBorder="true" applyAlignment="true" applyProtection="false">
      <alignment horizontal="center" vertical="center" textRotation="0" wrapText="false" indent="0" shrinkToFit="false"/>
      <protection locked="true" hidden="false"/>
    </xf>
    <xf numFmtId="164" fontId="5" fillId="10" borderId="0" xfId="0" applyFont="true" applyBorder="true" applyAlignment="true" applyProtection="false">
      <alignment horizontal="general" vertical="center" textRotation="0" wrapText="false" indent="0" shrinkToFit="false"/>
      <protection locked="true" hidden="false"/>
    </xf>
    <xf numFmtId="164" fontId="5" fillId="10" borderId="0" xfId="0" applyFont="true" applyBorder="false" applyAlignment="true" applyProtection="false">
      <alignment horizontal="center" vertical="center" textRotation="0" wrapText="false" indent="0" shrinkToFit="false"/>
      <protection locked="true" hidden="false"/>
    </xf>
    <xf numFmtId="164" fontId="5" fillId="11" borderId="3" xfId="0" applyFont="true" applyBorder="true" applyAlignment="true" applyProtection="false">
      <alignment horizontal="center" vertical="center" textRotation="0" wrapText="false" indent="0" shrinkToFit="false"/>
      <protection locked="true" hidden="false"/>
    </xf>
    <xf numFmtId="164" fontId="5" fillId="11" borderId="0" xfId="0" applyFont="true" applyBorder="true" applyAlignment="true" applyProtection="false">
      <alignment horizontal="general" vertical="center" textRotation="0" wrapText="false" indent="0" shrinkToFit="false"/>
      <protection locked="true" hidden="false"/>
    </xf>
    <xf numFmtId="164" fontId="5" fillId="11" borderId="0" xfId="0" applyFont="true" applyBorder="false" applyAlignment="true" applyProtection="false">
      <alignment horizontal="center" vertical="center" textRotation="0" wrapText="false" indent="0" shrinkToFit="false"/>
      <protection locked="true" hidden="false"/>
    </xf>
    <xf numFmtId="164" fontId="5" fillId="12" borderId="3" xfId="0" applyFont="true" applyBorder="true" applyAlignment="true" applyProtection="false">
      <alignment horizontal="center" vertical="center" textRotation="0" wrapText="false" indent="0" shrinkToFit="false"/>
      <protection locked="true" hidden="false"/>
    </xf>
    <xf numFmtId="164" fontId="5" fillId="12" borderId="0" xfId="0" applyFont="true" applyBorder="true" applyAlignment="true" applyProtection="false">
      <alignment horizontal="general" vertical="center" textRotation="0" wrapText="false" indent="0" shrinkToFit="false"/>
      <protection locked="true" hidden="false"/>
    </xf>
    <xf numFmtId="164" fontId="5" fillId="12" borderId="0" xfId="0" applyFont="true" applyBorder="false" applyAlignment="true" applyProtection="false">
      <alignment horizontal="center" vertical="center" textRotation="0" wrapText="false" indent="0" shrinkToFit="false"/>
      <protection locked="true" hidden="false"/>
    </xf>
    <xf numFmtId="164" fontId="5" fillId="13" borderId="3" xfId="0" applyFont="true" applyBorder="true" applyAlignment="true" applyProtection="false">
      <alignment horizontal="center" vertical="center" textRotation="0" wrapText="false" indent="0" shrinkToFit="false"/>
      <protection locked="true" hidden="false"/>
    </xf>
    <xf numFmtId="164" fontId="5" fillId="13" borderId="0" xfId="0" applyFont="true" applyBorder="true" applyAlignment="true" applyProtection="false">
      <alignment horizontal="general" vertical="center" textRotation="0" wrapText="false" indent="0" shrinkToFit="false"/>
      <protection locked="true" hidden="false"/>
    </xf>
    <xf numFmtId="164" fontId="5" fillId="13"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true"/>
    </xf>
    <xf numFmtId="164" fontId="4" fillId="2" borderId="2" xfId="0" applyFont="true" applyBorder="true" applyAlignment="true" applyProtection="true">
      <alignment horizontal="center" vertical="center" textRotation="0" wrapText="false" indent="0" shrinkToFit="false"/>
      <protection locked="true" hidden="true"/>
    </xf>
    <xf numFmtId="164" fontId="0" fillId="0" borderId="0" xfId="0" applyFont="false" applyBorder="true" applyAlignment="true" applyProtection="true">
      <alignment horizontal="center" vertical="center" textRotation="0" wrapText="false" indent="0" shrinkToFit="false"/>
      <protection locked="true" hidden="true"/>
    </xf>
    <xf numFmtId="164" fontId="5" fillId="14" borderId="0" xfId="0" applyFont="true" applyBorder="false" applyAlignment="true" applyProtection="true">
      <alignment horizontal="general" vertical="center" textRotation="0" wrapText="false" indent="0" shrinkToFit="false"/>
      <protection locked="true" hidden="true"/>
    </xf>
    <xf numFmtId="164" fontId="7" fillId="15" borderId="4" xfId="0" applyFont="true" applyBorder="true" applyAlignment="true" applyProtection="true">
      <alignment horizontal="general" vertical="center" textRotation="0" wrapText="false" indent="0" shrinkToFit="false"/>
      <protection locked="true" hidden="true"/>
    </xf>
    <xf numFmtId="164" fontId="11" fillId="16" borderId="0" xfId="0" applyFont="true" applyBorder="false" applyAlignment="true" applyProtection="true">
      <alignment horizontal="general" vertical="center" textRotation="0" wrapText="false" indent="0" shrinkToFit="false"/>
      <protection locked="true" hidden="true"/>
    </xf>
    <xf numFmtId="164" fontId="12" fillId="17" borderId="0" xfId="0" applyFont="true" applyBorder="false" applyAlignment="true" applyProtection="true">
      <alignment horizontal="general" vertical="center" textRotation="0" wrapText="false" indent="0" shrinkToFit="false"/>
      <protection locked="true" hidden="true"/>
    </xf>
    <xf numFmtId="164" fontId="5" fillId="3" borderId="0" xfId="0" applyFont="true" applyBorder="true" applyAlignment="true" applyProtection="true">
      <alignment horizontal="center" vertical="center" textRotation="0" wrapText="false" indent="0" shrinkToFit="false"/>
      <protection locked="true" hidden="true"/>
    </xf>
    <xf numFmtId="164" fontId="5" fillId="9" borderId="0" xfId="0" applyFont="true" applyBorder="true" applyAlignment="true" applyProtection="true">
      <alignment horizontal="center" vertical="center" textRotation="0" wrapText="false" indent="0" shrinkToFit="false"/>
      <protection locked="true" hidden="true"/>
    </xf>
    <xf numFmtId="164" fontId="5" fillId="5" borderId="0" xfId="0" applyFont="true" applyBorder="true" applyAlignment="true" applyProtection="true">
      <alignment horizontal="center" vertical="center" textRotation="0" wrapText="false" indent="0" shrinkToFit="false"/>
      <protection locked="true" hidden="true"/>
    </xf>
    <xf numFmtId="164" fontId="5" fillId="10" borderId="0" xfId="0" applyFont="true" applyBorder="true" applyAlignment="true" applyProtection="true">
      <alignment horizontal="center" vertical="center" textRotation="0" wrapText="false" indent="0" shrinkToFit="false"/>
      <protection locked="true" hidden="true"/>
    </xf>
    <xf numFmtId="164" fontId="5" fillId="6" borderId="0" xfId="0" applyFont="true" applyBorder="true" applyAlignment="true" applyProtection="true">
      <alignment horizontal="center" vertical="center" textRotation="0" wrapText="false" indent="0" shrinkToFit="false"/>
      <protection locked="true" hidden="true"/>
    </xf>
    <xf numFmtId="164" fontId="5" fillId="11" borderId="0" xfId="0" applyFont="true" applyBorder="true" applyAlignment="true" applyProtection="true">
      <alignment horizontal="center" vertical="center" textRotation="0" wrapText="false" indent="0" shrinkToFit="false"/>
      <protection locked="true" hidden="true"/>
    </xf>
    <xf numFmtId="164" fontId="5" fillId="7" borderId="0" xfId="0" applyFont="true" applyBorder="true" applyAlignment="true" applyProtection="true">
      <alignment horizontal="center" vertical="center" textRotation="0" wrapText="false" indent="0" shrinkToFit="false"/>
      <protection locked="true" hidden="true"/>
    </xf>
    <xf numFmtId="164" fontId="5" fillId="12" borderId="0" xfId="0" applyFont="true" applyBorder="true" applyAlignment="true" applyProtection="true">
      <alignment horizontal="center" vertical="center" textRotation="0" wrapText="false" indent="0" shrinkToFit="false"/>
      <protection locked="true" hidden="true"/>
    </xf>
    <xf numFmtId="164" fontId="5" fillId="8" borderId="0" xfId="0" applyFont="true" applyBorder="true" applyAlignment="true" applyProtection="true">
      <alignment horizontal="center" vertical="center" textRotation="0" wrapText="false" indent="0" shrinkToFit="false"/>
      <protection locked="true" hidden="true"/>
    </xf>
    <xf numFmtId="164" fontId="5" fillId="13" borderId="0" xfId="0" applyFont="true" applyBorder="true" applyAlignment="true" applyProtection="true">
      <alignment horizontal="center" vertical="center" textRotation="0" wrapText="false" indent="0" shrinkToFit="false"/>
      <protection locked="true" hidden="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0"/>
        <i val="0"/>
      </font>
      <fill>
        <patternFill>
          <bgColor rgb="FFE6E6E6"/>
        </patternFill>
      </fill>
    </dxf>
    <dxf>
      <font>
        <name val="Arial"/>
        <charset val="1"/>
        <family val="0"/>
        <color rgb="FF006600"/>
      </font>
      <fill>
        <patternFill>
          <bgColor rgb="FFCCFFCC"/>
        </patternFill>
      </fill>
    </dxf>
    <dxf>
      <font>
        <name val="Arial"/>
        <charset val="1"/>
        <family val="0"/>
        <b val="1"/>
        <color rgb="FFFFFFFF"/>
      </font>
      <fill>
        <patternFill>
          <bgColor rgb="FFCC0000"/>
        </patternFill>
      </fill>
    </dxf>
    <dxf>
      <font>
        <name val="Arial"/>
        <charset val="1"/>
        <family val="0"/>
        <color rgb="FF996600"/>
      </font>
      <fill>
        <patternFill>
          <bgColor rgb="FFFFFFCC"/>
        </patternFill>
      </fill>
    </dxf>
    <dxf>
      <font>
        <name val="Arial"/>
        <charset val="1"/>
        <family val="0"/>
        <i val="1"/>
        <color rgb="FF808080"/>
      </font>
      <fill>
        <patternFill>
          <bgColor rgb="FFFFFFFF"/>
        </patternFill>
      </fill>
    </dxf>
  </dxfs>
  <colors>
    <indexedColors>
      <rgbColor rgb="FF000000"/>
      <rgbColor rgb="FFFFFFFF"/>
      <rgbColor rgb="FFCC0000"/>
      <rgbColor rgb="FF00FF00"/>
      <rgbColor rgb="FF0000FF"/>
      <rgbColor rgb="FFFFFF00"/>
      <rgbColor rgb="FFFF00FF"/>
      <rgbColor rgb="FF00FFFF"/>
      <rgbColor rgb="FF7E0021"/>
      <rgbColor rgb="FF006600"/>
      <rgbColor rgb="FF000080"/>
      <rgbColor rgb="FF706E0C"/>
      <rgbColor rgb="FF800080"/>
      <rgbColor rgb="FF158466"/>
      <rgbColor rgb="FFB3B3B3"/>
      <rgbColor rgb="FF808080"/>
      <rgbColor rgb="FF9999FF"/>
      <rgbColor rgb="FFA1467E"/>
      <rgbColor rgb="FFFFFFCC"/>
      <rgbColor rgb="FFE6E6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E6E6E6"/>
      <rgbColor rgb="FFCCFFCC"/>
      <rgbColor rgb="FFFFFF99"/>
      <rgbColor rgb="FF99CCFF"/>
      <rgbColor rgb="FFFF99CC"/>
      <rgbColor rgb="FFCC99FF"/>
      <rgbColor rgb="FFFFCC99"/>
      <rgbColor rgb="FF4F81BD"/>
      <rgbColor rgb="FF33CCCC"/>
      <rgbColor rgb="FF5EB91E"/>
      <rgbColor rgb="FFFFD320"/>
      <rgbColor rgb="FFA27900"/>
      <rgbColor rgb="FFFF420E"/>
      <rgbColor rgb="FF5983B0"/>
      <rgbColor rgb="FF999999"/>
      <rgbColor rgb="FF004586"/>
      <rgbColor rgb="FF579D1C"/>
      <rgbColor rgb="FF003300"/>
      <rgbColor rgb="FF333300"/>
      <rgbColor rgb="FF8D281E"/>
      <rgbColor rgb="FF996600"/>
      <rgbColor rgb="FF5B27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pieChart>
        <c:varyColors val="0"/>
        <c:ser>
          <c:idx val="0"/>
          <c:order val="0"/>
          <c:tx>
            <c:strRef>
              <c:f>Stat!$B$4</c:f>
              <c:strCache>
                <c:ptCount val="1"/>
                <c:pt idx="0">
                  <c:v>Quantité</c:v>
                </c:pt>
              </c:strCache>
            </c:strRef>
          </c:tx>
          <c:spPr>
            <a:solidFill>
              <a:srgbClr val="4f81bd"/>
            </a:solidFill>
            <a:ln w="1260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Lbls>
            <c:dLbl>
              <c:idx val="0"/>
              <c:txPr>
                <a:bodyPr wrap="square"/>
                <a:lstStyle/>
                <a:p>
                  <a:pPr>
                    <a:defRPr sz="1000" b="0" u="none" strike="noStrike">
                      <a:solidFill>
                        <a:srgbClr val="000000"/>
                      </a:solidFill>
                      <a:uFillTx/>
                      <a:latin typeface="Calibri"/>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defRPr>
                  </a:pPr>
                </a:p>
              </c:txPr>
              <c:dLblPos val="bestFit"/>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Calibri"/>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Calibri"/>
                    <a:ea typeface="Arial"/>
                  </a:defRPr>
                </a:pPr>
              </a:p>
            </c:txPr>
            <c:dLblPos val="bestFit"/>
            <c:showLegendKey val="0"/>
            <c:showVal val="0"/>
            <c:showCatName val="0"/>
            <c:showSerName val="0"/>
            <c:showPercent val="0"/>
            <c:separator>; </c:separator>
            <c:showLeaderLines val="0"/>
          </c:dLbls>
          <c:cat>
            <c:strRef>
              <c:f>Stat!$A$5:$A$9</c:f>
              <c:strCache>
                <c:ptCount val="5"/>
                <c:pt idx="0">
                  <c:v>OK</c:v>
                </c:pt>
                <c:pt idx="1">
                  <c:v>KO</c:v>
                </c:pt>
                <c:pt idx="2">
                  <c:v>TODO</c:v>
                </c:pt>
                <c:pt idx="3">
                  <c:v>IN PROGRESS</c:v>
                </c:pt>
                <c:pt idx="4">
                  <c:v>NON APPLICABLE</c:v>
                </c:pt>
              </c:strCache>
            </c:strRef>
          </c:cat>
          <c:val>
            <c:numRef>
              <c:f>Stat!$B$5:$B$9</c:f>
              <c:numCache>
                <c:formatCode>General</c:formatCode>
                <c:ptCount val="5"/>
                <c:pt idx="0">
                  <c:v>61</c:v>
                </c:pt>
                <c:pt idx="1">
                  <c:v>11</c:v>
                </c:pt>
                <c:pt idx="2">
                  <c:v>0</c:v>
                </c:pt>
                <c:pt idx="3">
                  <c:v>0</c:v>
                </c:pt>
                <c:pt idx="4">
                  <c:v>6</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ea typeface="Arial"/>
            </a:defRPr>
          </a:pPr>
        </a:p>
      </c:txPr>
    </c:legend>
    <c:plotVisOnly val="1"/>
    <c:dispBlanksAs val="zero"/>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barChart>
        <c:barDir val="col"/>
        <c:grouping val="stacked"/>
        <c:varyColors val="0"/>
        <c:ser>
          <c:idx val="0"/>
          <c:order val="0"/>
          <c:tx>
            <c:strRef>
              <c:f>Stat!$K$4</c:f>
              <c:strCache>
                <c:ptCount val="1"/>
                <c:pt idx="0">
                  <c:v>Quantité</c:v>
                </c:pt>
              </c:strCache>
            </c:strRef>
          </c:tx>
          <c:spPr>
            <a:solidFill>
              <a:srgbClr val="004586"/>
            </a:solidFill>
            <a:ln w="12600">
              <a:noFill/>
            </a:ln>
          </c:spPr>
          <c:invertIfNegative val="0"/>
          <c:dLbls>
            <c:txPr>
              <a:bodyPr wrap="square"/>
              <a:lstStyle/>
              <a:p>
                <a:pPr>
                  <a:defRPr sz="1000" b="0" u="none" strike="noStrike">
                    <a:solidFill>
                      <a:srgbClr val="000000"/>
                    </a:solidFill>
                    <a:uFillTx/>
                    <a:latin typeface="Calibri"/>
                    <a:ea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Stat!$I$5:$J$24</c:f>
              <c:multiLvlStrCache>
                <c:ptCount val="20"/>
                <c:lvl>
                  <c:pt idx="0">
                    <c:v>OK</c:v>
                  </c:pt>
                  <c:pt idx="1">
                    <c:v>KO</c:v>
                  </c:pt>
                  <c:pt idx="2">
                    <c:v>TODO</c:v>
                  </c:pt>
                  <c:pt idx="3">
                    <c:v>IN PROGRESS</c:v>
                  </c:pt>
                  <c:pt idx="4">
                    <c:v>NON APPLICABLE</c:v>
                  </c:pt>
                  <c:pt idx="5">
                    <c:v>OK</c:v>
                  </c:pt>
                  <c:pt idx="6">
                    <c:v>KO</c:v>
                  </c:pt>
                  <c:pt idx="7">
                    <c:v>TODO</c:v>
                  </c:pt>
                  <c:pt idx="8">
                    <c:v>IN PROGRESS</c:v>
                  </c:pt>
                  <c:pt idx="9">
                    <c:v>NON APPLICABLE</c:v>
                  </c:pt>
                  <c:pt idx="10">
                    <c:v>OK</c:v>
                  </c:pt>
                  <c:pt idx="11">
                    <c:v>KO</c:v>
                  </c:pt>
                  <c:pt idx="12">
                    <c:v>TODO</c:v>
                  </c:pt>
                  <c:pt idx="13">
                    <c:v>IN PROGRESS</c:v>
                  </c:pt>
                  <c:pt idx="14">
                    <c:v>NON APPLICABLE</c:v>
                  </c:pt>
                  <c:pt idx="15">
                    <c:v>OK</c:v>
                  </c:pt>
                  <c:pt idx="16">
                    <c:v>KO</c:v>
                  </c:pt>
                  <c:pt idx="17">
                    <c:v>TODO</c:v>
                  </c:pt>
                  <c:pt idx="18">
                    <c:v>IN PROGRESS</c:v>
                  </c:pt>
                  <c:pt idx="19">
                    <c:v>NON APPLICABLE</c:v>
                  </c:pt>
                </c:lvl>
                <c:lvl>
                  <c:pt idx="0">
                    <c:v>1</c:v>
                  </c:pt>
                  <c:pt idx="5">
                    <c:v>2</c:v>
                  </c:pt>
                  <c:pt idx="10">
                    <c:v>3</c:v>
                  </c:pt>
                  <c:pt idx="15">
                    <c:v>4</c:v>
                  </c:pt>
                </c:lvl>
              </c:multiLvlStrCache>
            </c:multiLvlStrRef>
          </c:cat>
          <c:val>
            <c:numRef>
              <c:f>Stat!$K$5:$K$24</c:f>
              <c:numCache>
                <c:formatCode>General</c:formatCode>
                <c:ptCount val="20"/>
                <c:pt idx="0">
                  <c:v>15</c:v>
                </c:pt>
                <c:pt idx="1">
                  <c:v>5</c:v>
                </c:pt>
                <c:pt idx="2">
                  <c:v>0</c:v>
                </c:pt>
                <c:pt idx="3">
                  <c:v>0</c:v>
                </c:pt>
                <c:pt idx="4">
                  <c:v>0</c:v>
                </c:pt>
                <c:pt idx="5">
                  <c:v>14</c:v>
                </c:pt>
                <c:pt idx="6">
                  <c:v>1</c:v>
                </c:pt>
                <c:pt idx="7">
                  <c:v>0</c:v>
                </c:pt>
                <c:pt idx="8">
                  <c:v>0</c:v>
                </c:pt>
                <c:pt idx="9">
                  <c:v>1</c:v>
                </c:pt>
                <c:pt idx="10">
                  <c:v>21</c:v>
                </c:pt>
                <c:pt idx="11">
                  <c:v>4</c:v>
                </c:pt>
                <c:pt idx="12">
                  <c:v>0</c:v>
                </c:pt>
                <c:pt idx="13">
                  <c:v>0</c:v>
                </c:pt>
                <c:pt idx="14">
                  <c:v>1</c:v>
                </c:pt>
                <c:pt idx="15">
                  <c:v>11</c:v>
                </c:pt>
                <c:pt idx="16">
                  <c:v>1</c:v>
                </c:pt>
                <c:pt idx="17">
                  <c:v>0</c:v>
                </c:pt>
                <c:pt idx="18">
                  <c:v>0</c:v>
                </c:pt>
                <c:pt idx="19">
                  <c:v>4</c:v>
                </c:pt>
              </c:numCache>
            </c:numRef>
          </c:val>
        </c:ser>
        <c:gapWidth val="150"/>
        <c:overlap val="100"/>
        <c:axId val="13390009"/>
        <c:axId val="47801882"/>
      </c:barChart>
      <c:catAx>
        <c:axId val="13390009"/>
        <c:scaling>
          <c:orientation val="minMax"/>
        </c:scaling>
        <c:delete val="0"/>
        <c:axPos val="b"/>
        <c:majorGridlines>
          <c:spPr>
            <a:ln w="9360">
              <a:solidFill>
                <a:srgbClr val="b3b3b3"/>
              </a:solidFill>
              <a:round/>
            </a:ln>
          </c:spPr>
        </c:majorGridlines>
        <c:numFmt formatCode="General" sourceLinked="0"/>
        <c:majorTickMark val="out"/>
        <c:minorTickMark val="none"/>
        <c:tickLblPos val="nextTo"/>
        <c:spPr>
          <a:ln w="9360">
            <a:solidFill>
              <a:srgbClr val="b3b3b3"/>
            </a:solidFill>
            <a:round/>
          </a:ln>
        </c:spPr>
        <c:txPr>
          <a:bodyPr/>
          <a:lstStyle/>
          <a:p>
            <a:pPr>
              <a:defRPr sz="1000" b="0" u="none" strike="noStrike">
                <a:solidFill>
                  <a:srgbClr val="000000"/>
                </a:solidFill>
                <a:uFillTx/>
                <a:latin typeface="Calibri"/>
                <a:ea typeface="Arial"/>
              </a:defRPr>
            </a:pPr>
          </a:p>
        </c:txPr>
        <c:crossAx val="47801882"/>
        <c:crosses val="autoZero"/>
        <c:auto val="1"/>
        <c:lblAlgn val="ctr"/>
        <c:lblOffset val="100"/>
        <c:noMultiLvlLbl val="0"/>
      </c:catAx>
      <c:valAx>
        <c:axId val="47801882"/>
        <c:scaling>
          <c:orientation val="minMax"/>
        </c:scaling>
        <c:delete val="0"/>
        <c:axPos val="l"/>
        <c:numFmt formatCode="General" sourceLinked="0"/>
        <c:majorTickMark val="out"/>
        <c:minorTickMark val="none"/>
        <c:tickLblPos val="nextTo"/>
        <c:spPr>
          <a:ln w="9360">
            <a:solidFill>
              <a:srgbClr val="b3b3b3"/>
            </a:solidFill>
            <a:round/>
          </a:ln>
        </c:spPr>
        <c:txPr>
          <a:bodyPr/>
          <a:lstStyle/>
          <a:p>
            <a:pPr>
              <a:defRPr sz="1000" b="0" u="none" strike="noStrike">
                <a:solidFill>
                  <a:srgbClr val="000000"/>
                </a:solidFill>
                <a:uFillTx/>
                <a:latin typeface="Calibri"/>
                <a:ea typeface="Arial"/>
              </a:defRPr>
            </a:pPr>
          </a:p>
        </c:txPr>
        <c:crossAx val="13390009"/>
        <c:crosses val="autoZero"/>
        <c:crossBetween val="between"/>
      </c:valAx>
      <c:spPr>
        <a:solidFill>
          <a:srgbClr val="ffffff"/>
        </a:solidFill>
        <a:ln w="0">
          <a:solidFill>
            <a:srgbClr val="999999"/>
          </a:solidFill>
        </a:ln>
      </c:spPr>
    </c:plotArea>
    <c:legend>
      <c:legendPos val="r"/>
      <c:overlay val="0"/>
      <c:spPr>
        <a:noFill/>
        <a:ln w="0">
          <a:noFill/>
        </a:ln>
      </c:spPr>
      <c:txPr>
        <a:bodyPr/>
        <a:lstStyle/>
        <a:p>
          <a:pPr>
            <a:defRPr sz="1000" b="0" u="none" strike="noStrike">
              <a:solidFill>
                <a:srgbClr val="000000"/>
              </a:solidFill>
              <a:uFillTx/>
              <a:latin typeface="Calibri"/>
              <a:ea typeface="Arial"/>
            </a:defRPr>
          </a:pPr>
        </a:p>
      </c:txPr>
    </c:legend>
    <c:plotVisOnly val="1"/>
    <c:dispBlanksAs val="zero"/>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159120</xdr:colOff>
      <xdr:row>2</xdr:row>
      <xdr:rowOff>68760</xdr:rowOff>
    </xdr:from>
    <xdr:to>
      <xdr:col>7</xdr:col>
      <xdr:colOff>632880</xdr:colOff>
      <xdr:row>14</xdr:row>
      <xdr:rowOff>18360</xdr:rowOff>
    </xdr:to>
    <xdr:graphicFrame>
      <xdr:nvGraphicFramePr>
        <xdr:cNvPr id="1" name="Graphique 1023"/>
        <xdr:cNvGraphicFramePr/>
      </xdr:nvGraphicFramePr>
      <xdr:xfrm>
        <a:off x="3228120" y="383040"/>
        <a:ext cx="3344040" cy="188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624600</xdr:colOff>
      <xdr:row>3</xdr:row>
      <xdr:rowOff>25560</xdr:rowOff>
    </xdr:from>
    <xdr:to>
      <xdr:col>20</xdr:col>
      <xdr:colOff>388440</xdr:colOff>
      <xdr:row>23</xdr:row>
      <xdr:rowOff>25920</xdr:rowOff>
    </xdr:to>
    <xdr:graphicFrame>
      <xdr:nvGraphicFramePr>
        <xdr:cNvPr id="2" name="Graphique 1024"/>
        <xdr:cNvGraphicFramePr/>
      </xdr:nvGraphicFramePr>
      <xdr:xfrm>
        <a:off x="9580680" y="492120"/>
        <a:ext cx="5758920" cy="323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0"/>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pane xSplit="0" ySplit="2" topLeftCell="A3" activePane="bottomLeft" state="frozen"/>
      <selection pane="topLeft" activeCell="A1" activeCellId="0" sqref="A1"/>
      <selection pane="bottomLeft" activeCell="A98" activeCellId="0" sqref="A98"/>
    </sheetView>
  </sheetViews>
  <sheetFormatPr defaultColWidth="8.73046875" defaultRowHeight="12" customHeight="false" zeroHeight="false" outlineLevelRow="1" outlineLevelCol="0"/>
  <cols>
    <col collapsed="false" customWidth="true" hidden="false" outlineLevel="0" max="1" min="1" style="0" width="17.91"/>
    <col collapsed="false" customWidth="true" hidden="false" outlineLevel="0" max="2" min="2" style="0" width="27.18"/>
    <col collapsed="false" customWidth="true" hidden="false" outlineLevel="0" max="4" min="3" style="0" width="22.91"/>
    <col collapsed="false" customWidth="true" hidden="false" outlineLevel="0" max="5" min="5" style="0" width="26.27"/>
    <col collapsed="false" customWidth="true" hidden="false" outlineLevel="0" max="6" min="6" style="0" width="29.18"/>
    <col collapsed="false" customWidth="true" hidden="false" outlineLevel="0" max="7" min="7" style="0" width="19"/>
    <col collapsed="false" customWidth="true" hidden="false" outlineLevel="0" max="8" min="8" style="0" width="17.36"/>
    <col collapsed="false" customWidth="true" hidden="false" outlineLevel="0" max="9" min="9" style="0" width="6.27"/>
    <col collapsed="false" customWidth="true" hidden="false" outlineLevel="0" max="1024" min="10" style="0" width="17.63"/>
  </cols>
  <sheetData>
    <row r="1" customFormat="false" ht="12.75" hidden="false" customHeight="true" outlineLevel="0" collapsed="false">
      <c r="A1" s="1" t="s">
        <v>0</v>
      </c>
      <c r="B1" s="1"/>
      <c r="C1" s="1"/>
      <c r="D1" s="1"/>
      <c r="E1" s="1"/>
      <c r="F1" s="1"/>
      <c r="G1" s="1"/>
      <c r="H1" s="1"/>
      <c r="I1" s="1"/>
      <c r="J1" s="1"/>
    </row>
    <row r="2" customFormat="false" ht="12.75" hidden="false" customHeight="true" outlineLevel="0" collapsed="false">
      <c r="A2" s="2" t="s">
        <v>1</v>
      </c>
      <c r="B2" s="2" t="s">
        <v>2</v>
      </c>
      <c r="C2" s="2" t="s">
        <v>3</v>
      </c>
      <c r="D2" s="2" t="s">
        <v>4</v>
      </c>
      <c r="E2" s="2" t="s">
        <v>5</v>
      </c>
      <c r="F2" s="2" t="s">
        <v>6</v>
      </c>
      <c r="G2" s="2" t="s">
        <v>7</v>
      </c>
      <c r="H2" s="2" t="s">
        <v>8</v>
      </c>
      <c r="I2" s="2" t="s">
        <v>9</v>
      </c>
      <c r="J2" s="2" t="s">
        <v>10</v>
      </c>
    </row>
    <row r="3" customFormat="false" ht="12.75" hidden="false" customHeight="true" outlineLevel="0" collapsed="false">
      <c r="A3" s="3" t="s">
        <v>11</v>
      </c>
      <c r="B3" s="3"/>
      <c r="C3" s="3"/>
      <c r="D3" s="3"/>
      <c r="E3" s="3"/>
      <c r="F3" s="3"/>
      <c r="G3" s="3"/>
      <c r="H3" s="4" t="str">
        <f aca="false">IF(COUNTIF(H$4:H$8,"OK") = COUNTA(H$4:H$8), "OK", IF(COUNTIF(H$4:H$8,"KO") &gt; 0, "KO", "TODO"))</f>
        <v>OK</v>
      </c>
      <c r="I3" s="5"/>
      <c r="J3" s="5"/>
    </row>
    <row r="4" customFormat="false" ht="46.25" hidden="true" customHeight="false" outlineLevel="1" collapsed="false">
      <c r="A4" s="6" t="s">
        <v>11</v>
      </c>
      <c r="B4" s="7" t="s">
        <v>12</v>
      </c>
      <c r="C4" s="7" t="s">
        <v>13</v>
      </c>
      <c r="D4" s="7" t="s">
        <v>14</v>
      </c>
      <c r="E4" s="8" t="s">
        <v>15</v>
      </c>
      <c r="F4" s="8" t="s">
        <v>16</v>
      </c>
      <c r="G4" s="9" t="s">
        <v>17</v>
      </c>
      <c r="H4" s="10" t="s">
        <v>18</v>
      </c>
      <c r="I4" s="0" t="n">
        <v>1</v>
      </c>
      <c r="J4" s="11"/>
    </row>
    <row r="5" customFormat="false" ht="46.25" hidden="true" customHeight="false" outlineLevel="1" collapsed="false">
      <c r="A5" s="6" t="s">
        <v>11</v>
      </c>
      <c r="B5" s="7" t="s">
        <v>19</v>
      </c>
      <c r="C5" s="12" t="s">
        <v>20</v>
      </c>
      <c r="D5" s="7" t="s">
        <v>14</v>
      </c>
      <c r="E5" s="8" t="s">
        <v>21</v>
      </c>
      <c r="F5" s="8" t="s">
        <v>22</v>
      </c>
      <c r="G5" s="9" t="s">
        <v>23</v>
      </c>
      <c r="H5" s="10" t="s">
        <v>18</v>
      </c>
      <c r="I5" s="0" t="n">
        <v>1</v>
      </c>
      <c r="J5" s="11"/>
    </row>
    <row r="6" customFormat="false" ht="68.65" hidden="true" customHeight="false" outlineLevel="1" collapsed="false">
      <c r="A6" s="6" t="s">
        <v>11</v>
      </c>
      <c r="B6" s="7" t="s">
        <v>24</v>
      </c>
      <c r="C6" s="12" t="s">
        <v>25</v>
      </c>
      <c r="D6" s="7" t="s">
        <v>14</v>
      </c>
      <c r="E6" s="8" t="s">
        <v>26</v>
      </c>
      <c r="F6" s="8" t="s">
        <v>27</v>
      </c>
      <c r="G6" s="9" t="s">
        <v>28</v>
      </c>
      <c r="H6" s="10" t="s">
        <v>18</v>
      </c>
      <c r="I6" s="0" t="n">
        <v>1</v>
      </c>
      <c r="J6" s="11"/>
    </row>
    <row r="7" customFormat="false" ht="79.85" hidden="true" customHeight="false" outlineLevel="1" collapsed="false">
      <c r="A7" s="6" t="s">
        <v>11</v>
      </c>
      <c r="B7" s="7" t="s">
        <v>29</v>
      </c>
      <c r="C7" s="12" t="s">
        <v>30</v>
      </c>
      <c r="D7" s="7" t="s">
        <v>14</v>
      </c>
      <c r="E7" s="8" t="s">
        <v>31</v>
      </c>
      <c r="F7" s="8" t="s">
        <v>32</v>
      </c>
      <c r="G7" s="9" t="s">
        <v>33</v>
      </c>
      <c r="H7" s="10" t="s">
        <v>18</v>
      </c>
      <c r="I7" s="0" t="n">
        <v>1</v>
      </c>
      <c r="J7" s="13" t="s">
        <v>34</v>
      </c>
    </row>
    <row r="8" customFormat="false" ht="57.45" hidden="true" customHeight="false" outlineLevel="1" collapsed="false">
      <c r="A8" s="6" t="s">
        <v>11</v>
      </c>
      <c r="B8" s="7" t="s">
        <v>35</v>
      </c>
      <c r="C8" s="12" t="s">
        <v>36</v>
      </c>
      <c r="D8" s="12" t="s">
        <v>37</v>
      </c>
      <c r="E8" s="8" t="s">
        <v>38</v>
      </c>
      <c r="F8" s="8" t="s">
        <v>39</v>
      </c>
      <c r="G8" s="9" t="s">
        <v>40</v>
      </c>
      <c r="H8" s="10" t="s">
        <v>18</v>
      </c>
      <c r="I8" s="0" t="n">
        <v>1</v>
      </c>
      <c r="J8" s="13"/>
    </row>
    <row r="9" customFormat="false" ht="57.45" hidden="true" customHeight="false" outlineLevel="1" collapsed="false">
      <c r="A9" s="6" t="s">
        <v>11</v>
      </c>
      <c r="B9" s="7" t="s">
        <v>41</v>
      </c>
      <c r="C9" s="12" t="s">
        <v>42</v>
      </c>
      <c r="D9" s="12" t="s">
        <v>43</v>
      </c>
      <c r="E9" s="8" t="s">
        <v>44</v>
      </c>
      <c r="F9" s="8" t="s">
        <v>45</v>
      </c>
      <c r="G9" s="9"/>
      <c r="H9" s="10" t="s">
        <v>18</v>
      </c>
      <c r="I9" s="0" t="n">
        <v>3</v>
      </c>
      <c r="J9" s="13"/>
    </row>
    <row r="10" customFormat="false" ht="12.75" hidden="false" customHeight="true" outlineLevel="0" collapsed="false">
      <c r="A10" s="14" t="s">
        <v>46</v>
      </c>
      <c r="B10" s="14"/>
      <c r="C10" s="14"/>
      <c r="D10" s="14"/>
      <c r="E10" s="14"/>
      <c r="F10" s="14"/>
      <c r="G10" s="14"/>
      <c r="H10" s="4" t="str">
        <f aca="false">IF(COUNTIF(H$11:H$21,"OK") = COUNTA(H$11:H$21), "OK", IF(COUNTIF(H$11:H$21,"KO") &gt; 0, "KO", "TODO"))</f>
        <v>KO</v>
      </c>
      <c r="I10" s="15"/>
      <c r="J10" s="15"/>
    </row>
    <row r="11" customFormat="false" ht="57.45" hidden="true" customHeight="false" outlineLevel="1" collapsed="false">
      <c r="A11" s="16" t="s">
        <v>46</v>
      </c>
      <c r="B11" s="12" t="s">
        <v>47</v>
      </c>
      <c r="C11" s="12" t="s">
        <v>48</v>
      </c>
      <c r="D11" s="12" t="s">
        <v>49</v>
      </c>
      <c r="E11" s="8" t="s">
        <v>50</v>
      </c>
      <c r="F11" s="8" t="s">
        <v>51</v>
      </c>
      <c r="G11" s="9"/>
      <c r="H11" s="10" t="s">
        <v>52</v>
      </c>
      <c r="I11" s="0" t="n">
        <v>1</v>
      </c>
      <c r="J11" s="17" t="s">
        <v>53</v>
      </c>
    </row>
    <row r="12" customFormat="false" ht="79.85" hidden="true" customHeight="false" outlineLevel="1" collapsed="false">
      <c r="A12" s="16" t="s">
        <v>46</v>
      </c>
      <c r="B12" s="12" t="s">
        <v>54</v>
      </c>
      <c r="C12" s="12" t="s">
        <v>55</v>
      </c>
      <c r="D12" s="12" t="s">
        <v>49</v>
      </c>
      <c r="E12" s="8" t="s">
        <v>56</v>
      </c>
      <c r="F12" s="8" t="s">
        <v>57</v>
      </c>
      <c r="G12" s="9"/>
      <c r="H12" s="10" t="s">
        <v>18</v>
      </c>
      <c r="I12" s="0" t="n">
        <v>2</v>
      </c>
      <c r="J12" s="9"/>
    </row>
    <row r="13" customFormat="false" ht="57.45" hidden="true" customHeight="false" outlineLevel="1" collapsed="false">
      <c r="A13" s="16" t="s">
        <v>46</v>
      </c>
      <c r="B13" s="12" t="s">
        <v>58</v>
      </c>
      <c r="C13" s="12" t="s">
        <v>59</v>
      </c>
      <c r="D13" s="12" t="s">
        <v>49</v>
      </c>
      <c r="E13" s="8" t="s">
        <v>60</v>
      </c>
      <c r="F13" s="8" t="s">
        <v>61</v>
      </c>
      <c r="G13" s="9"/>
      <c r="H13" s="10" t="s">
        <v>18</v>
      </c>
      <c r="I13" s="0" t="n">
        <v>3</v>
      </c>
      <c r="J13" s="9"/>
    </row>
    <row r="14" customFormat="false" ht="135.8" hidden="true" customHeight="false" outlineLevel="1" collapsed="false">
      <c r="A14" s="16" t="s">
        <v>46</v>
      </c>
      <c r="B14" s="12" t="s">
        <v>62</v>
      </c>
      <c r="C14" s="7" t="s">
        <v>63</v>
      </c>
      <c r="D14" s="12" t="s">
        <v>49</v>
      </c>
      <c r="E14" s="8" t="s">
        <v>64</v>
      </c>
      <c r="F14" s="8" t="s">
        <v>65</v>
      </c>
      <c r="G14" s="9" t="s">
        <v>66</v>
      </c>
      <c r="H14" s="10" t="s">
        <v>18</v>
      </c>
      <c r="I14" s="0" t="n">
        <v>4</v>
      </c>
      <c r="J14" s="9"/>
    </row>
    <row r="15" customFormat="false" ht="135.8" hidden="true" customHeight="false" outlineLevel="1" collapsed="false">
      <c r="A15" s="16" t="s">
        <v>46</v>
      </c>
      <c r="B15" s="12" t="s">
        <v>67</v>
      </c>
      <c r="C15" s="7" t="s">
        <v>63</v>
      </c>
      <c r="D15" s="12" t="s">
        <v>49</v>
      </c>
      <c r="E15" s="8" t="s">
        <v>68</v>
      </c>
      <c r="F15" s="8" t="s">
        <v>69</v>
      </c>
      <c r="G15" s="9" t="s">
        <v>70</v>
      </c>
      <c r="H15" s="10" t="s">
        <v>18</v>
      </c>
      <c r="I15" s="0" t="n">
        <v>2</v>
      </c>
      <c r="J15" s="9"/>
    </row>
    <row r="16" customFormat="false" ht="147" hidden="true" customHeight="false" outlineLevel="1" collapsed="false">
      <c r="A16" s="16" t="s">
        <v>46</v>
      </c>
      <c r="B16" s="12" t="s">
        <v>71</v>
      </c>
      <c r="C16" s="7" t="s">
        <v>63</v>
      </c>
      <c r="D16" s="12" t="s">
        <v>49</v>
      </c>
      <c r="E16" s="8" t="s">
        <v>72</v>
      </c>
      <c r="F16" s="8" t="s">
        <v>73</v>
      </c>
      <c r="G16" s="9" t="s">
        <v>70</v>
      </c>
      <c r="H16" s="10" t="s">
        <v>18</v>
      </c>
      <c r="I16" s="0" t="n">
        <v>4</v>
      </c>
      <c r="J16" s="9"/>
    </row>
    <row r="17" customFormat="false" ht="135.8" hidden="true" customHeight="false" outlineLevel="1" collapsed="false">
      <c r="A17" s="16" t="s">
        <v>46</v>
      </c>
      <c r="B17" s="12" t="s">
        <v>74</v>
      </c>
      <c r="C17" s="7" t="s">
        <v>63</v>
      </c>
      <c r="D17" s="12" t="s">
        <v>49</v>
      </c>
      <c r="E17" s="8" t="s">
        <v>75</v>
      </c>
      <c r="F17" s="8" t="s">
        <v>76</v>
      </c>
      <c r="G17" s="9" t="s">
        <v>70</v>
      </c>
      <c r="H17" s="10" t="s">
        <v>18</v>
      </c>
      <c r="I17" s="0" t="n">
        <v>4</v>
      </c>
      <c r="J17" s="9"/>
    </row>
    <row r="18" customFormat="false" ht="147" hidden="true" customHeight="false" outlineLevel="1" collapsed="false">
      <c r="A18" s="16" t="s">
        <v>46</v>
      </c>
      <c r="B18" s="12" t="s">
        <v>77</v>
      </c>
      <c r="C18" s="7" t="s">
        <v>63</v>
      </c>
      <c r="D18" s="12" t="s">
        <v>49</v>
      </c>
      <c r="E18" s="8" t="s">
        <v>78</v>
      </c>
      <c r="F18" s="8" t="s">
        <v>79</v>
      </c>
      <c r="G18" s="9" t="s">
        <v>70</v>
      </c>
      <c r="H18" s="10" t="s">
        <v>18</v>
      </c>
      <c r="I18" s="0" t="n">
        <v>4</v>
      </c>
      <c r="J18" s="9"/>
    </row>
    <row r="19" customFormat="false" ht="147" hidden="true" customHeight="false" outlineLevel="1" collapsed="false">
      <c r="A19" s="16" t="s">
        <v>46</v>
      </c>
      <c r="B19" s="12" t="s">
        <v>80</v>
      </c>
      <c r="C19" s="7" t="s">
        <v>63</v>
      </c>
      <c r="D19" s="12" t="s">
        <v>49</v>
      </c>
      <c r="E19" s="8" t="s">
        <v>81</v>
      </c>
      <c r="F19" s="8" t="s">
        <v>82</v>
      </c>
      <c r="G19" s="9" t="s">
        <v>70</v>
      </c>
      <c r="H19" s="10" t="s">
        <v>18</v>
      </c>
      <c r="I19" s="0" t="n">
        <v>4</v>
      </c>
      <c r="J19" s="9"/>
    </row>
    <row r="20" customFormat="false" ht="135.8" hidden="true" customHeight="false" outlineLevel="1" collapsed="false">
      <c r="A20" s="16" t="s">
        <v>46</v>
      </c>
      <c r="B20" s="12" t="s">
        <v>83</v>
      </c>
      <c r="C20" s="7" t="s">
        <v>63</v>
      </c>
      <c r="D20" s="12" t="s">
        <v>49</v>
      </c>
      <c r="E20" s="8" t="s">
        <v>84</v>
      </c>
      <c r="F20" s="8" t="s">
        <v>85</v>
      </c>
      <c r="G20" s="9" t="s">
        <v>70</v>
      </c>
      <c r="H20" s="10" t="s">
        <v>18</v>
      </c>
      <c r="I20" s="0" t="n">
        <v>4</v>
      </c>
      <c r="J20" s="9"/>
    </row>
    <row r="21" customFormat="false" ht="68.65" hidden="true" customHeight="false" outlineLevel="1" collapsed="false">
      <c r="A21" s="16" t="s">
        <v>46</v>
      </c>
      <c r="B21" s="12" t="s">
        <v>86</v>
      </c>
      <c r="C21" s="12" t="s">
        <v>87</v>
      </c>
      <c r="D21" s="12" t="s">
        <v>88</v>
      </c>
      <c r="E21" s="8" t="s">
        <v>89</v>
      </c>
      <c r="F21" s="8" t="s">
        <v>90</v>
      </c>
      <c r="G21" s="9"/>
      <c r="H21" s="10" t="s">
        <v>91</v>
      </c>
      <c r="I21" s="0" t="n">
        <v>4</v>
      </c>
      <c r="J21" s="18" t="s">
        <v>92</v>
      </c>
    </row>
    <row r="22" customFormat="false" ht="12.75" hidden="false" customHeight="true" outlineLevel="0" collapsed="false">
      <c r="A22" s="19" t="s">
        <v>93</v>
      </c>
      <c r="B22" s="19"/>
      <c r="C22" s="19"/>
      <c r="D22" s="19"/>
      <c r="E22" s="19"/>
      <c r="F22" s="19"/>
      <c r="G22" s="19"/>
      <c r="H22" s="4" t="str">
        <f aca="false">IF(COUNTIF(H$23:H$30,"OK") = COUNTA(H$23:H$30), "OK", IF(COUNTIF(H$23:H$30,"KO") &gt; 0, "KO", "TODO"))</f>
        <v>OK</v>
      </c>
      <c r="I22" s="20"/>
      <c r="J22" s="20"/>
    </row>
    <row r="23" customFormat="false" ht="46.25" hidden="true" customHeight="false" outlineLevel="1" collapsed="false">
      <c r="A23" s="21" t="s">
        <v>93</v>
      </c>
      <c r="B23" s="12" t="s">
        <v>94</v>
      </c>
      <c r="C23" s="12" t="s">
        <v>95</v>
      </c>
      <c r="D23" s="12" t="s">
        <v>88</v>
      </c>
      <c r="E23" s="8" t="s">
        <v>96</v>
      </c>
      <c r="F23" s="8" t="s">
        <v>97</v>
      </c>
      <c r="G23" s="9" t="s">
        <v>98</v>
      </c>
      <c r="H23" s="10" t="s">
        <v>18</v>
      </c>
      <c r="I23" s="0" t="n">
        <v>1</v>
      </c>
      <c r="J23" s="18"/>
    </row>
    <row r="24" customFormat="false" ht="35.05" hidden="true" customHeight="false" outlineLevel="1" collapsed="false">
      <c r="A24" s="21" t="s">
        <v>93</v>
      </c>
      <c r="B24" s="12" t="s">
        <v>99</v>
      </c>
      <c r="C24" s="12" t="s">
        <v>100</v>
      </c>
      <c r="D24" s="12" t="s">
        <v>14</v>
      </c>
      <c r="E24" s="8" t="s">
        <v>101</v>
      </c>
      <c r="F24" s="8" t="s">
        <v>16</v>
      </c>
      <c r="G24" s="9" t="s">
        <v>98</v>
      </c>
      <c r="H24" s="10" t="s">
        <v>18</v>
      </c>
      <c r="I24" s="0" t="n">
        <v>1</v>
      </c>
      <c r="J24" s="18"/>
    </row>
    <row r="25" customFormat="false" ht="46.25" hidden="true" customHeight="false" outlineLevel="1" collapsed="false">
      <c r="A25" s="21" t="s">
        <v>93</v>
      </c>
      <c r="B25" s="12" t="s">
        <v>102</v>
      </c>
      <c r="C25" s="12" t="s">
        <v>103</v>
      </c>
      <c r="D25" s="12" t="s">
        <v>104</v>
      </c>
      <c r="E25" s="8" t="s">
        <v>105</v>
      </c>
      <c r="F25" s="8" t="s">
        <v>106</v>
      </c>
      <c r="G25" s="9" t="s">
        <v>107</v>
      </c>
      <c r="H25" s="10" t="s">
        <v>18</v>
      </c>
      <c r="I25" s="0" t="n">
        <v>4</v>
      </c>
      <c r="J25" s="18"/>
    </row>
    <row r="26" customFormat="false" ht="35.05" hidden="true" customHeight="false" outlineLevel="1" collapsed="false">
      <c r="A26" s="21" t="s">
        <v>93</v>
      </c>
      <c r="B26" s="12" t="s">
        <v>108</v>
      </c>
      <c r="C26" s="12" t="s">
        <v>109</v>
      </c>
      <c r="D26" s="12" t="s">
        <v>104</v>
      </c>
      <c r="E26" s="8" t="s">
        <v>110</v>
      </c>
      <c r="F26" s="8" t="s">
        <v>111</v>
      </c>
      <c r="G26" s="9" t="s">
        <v>112</v>
      </c>
      <c r="H26" s="10" t="s">
        <v>18</v>
      </c>
      <c r="I26" s="0" t="n">
        <v>3</v>
      </c>
      <c r="J26" s="18"/>
    </row>
    <row r="27" customFormat="false" ht="46.25" hidden="true" customHeight="false" outlineLevel="1" collapsed="false">
      <c r="A27" s="21" t="s">
        <v>93</v>
      </c>
      <c r="B27" s="12" t="s">
        <v>113</v>
      </c>
      <c r="C27" s="12" t="s">
        <v>114</v>
      </c>
      <c r="D27" s="12" t="s">
        <v>104</v>
      </c>
      <c r="E27" s="8" t="s">
        <v>115</v>
      </c>
      <c r="F27" s="8" t="s">
        <v>116</v>
      </c>
      <c r="G27" s="9" t="s">
        <v>117</v>
      </c>
      <c r="H27" s="10" t="s">
        <v>18</v>
      </c>
      <c r="I27" s="0" t="n">
        <v>2</v>
      </c>
      <c r="J27" s="18"/>
    </row>
    <row r="28" customFormat="false" ht="57.45" hidden="true" customHeight="false" outlineLevel="1" collapsed="false">
      <c r="A28" s="21" t="s">
        <v>93</v>
      </c>
      <c r="B28" s="12" t="s">
        <v>118</v>
      </c>
      <c r="C28" s="12" t="s">
        <v>119</v>
      </c>
      <c r="D28" s="12" t="s">
        <v>120</v>
      </c>
      <c r="E28" s="8" t="s">
        <v>121</v>
      </c>
      <c r="F28" s="8" t="s">
        <v>122</v>
      </c>
      <c r="G28" s="18"/>
      <c r="H28" s="10" t="s">
        <v>18</v>
      </c>
      <c r="I28" s="0" t="n">
        <v>2</v>
      </c>
      <c r="J28" s="18"/>
    </row>
    <row r="29" customFormat="false" ht="57.45" hidden="true" customHeight="false" outlineLevel="1" collapsed="false">
      <c r="A29" s="21" t="s">
        <v>93</v>
      </c>
      <c r="B29" s="12" t="s">
        <v>123</v>
      </c>
      <c r="C29" s="12" t="s">
        <v>124</v>
      </c>
      <c r="D29" s="12" t="s">
        <v>104</v>
      </c>
      <c r="E29" s="8" t="s">
        <v>125</v>
      </c>
      <c r="F29" s="12" t="s">
        <v>126</v>
      </c>
      <c r="G29" s="18"/>
      <c r="H29" s="10" t="s">
        <v>18</v>
      </c>
      <c r="I29" s="0" t="n">
        <v>2</v>
      </c>
      <c r="J29" s="18"/>
    </row>
    <row r="30" customFormat="false" ht="57.45" hidden="true" customHeight="false" outlineLevel="1" collapsed="false">
      <c r="A30" s="21" t="s">
        <v>93</v>
      </c>
      <c r="B30" s="12" t="s">
        <v>127</v>
      </c>
      <c r="C30" s="12" t="s">
        <v>128</v>
      </c>
      <c r="D30" s="12" t="s">
        <v>120</v>
      </c>
      <c r="E30" s="8" t="s">
        <v>129</v>
      </c>
      <c r="F30" s="12" t="s">
        <v>130</v>
      </c>
      <c r="G30" s="18"/>
      <c r="H30" s="10" t="s">
        <v>18</v>
      </c>
      <c r="I30" s="0" t="n">
        <v>2</v>
      </c>
      <c r="J30" s="18"/>
    </row>
    <row r="31" customFormat="false" ht="12.75" hidden="false" customHeight="true" outlineLevel="0" collapsed="false">
      <c r="A31" s="22" t="s">
        <v>131</v>
      </c>
      <c r="B31" s="22"/>
      <c r="C31" s="22"/>
      <c r="D31" s="22"/>
      <c r="E31" s="22"/>
      <c r="F31" s="22"/>
      <c r="G31" s="22"/>
      <c r="H31" s="4" t="str">
        <f aca="false">IF(COUNTIF(H$32:H$37,"OK") = COUNTA(H$32:H$37), "OK", IF(COUNTIF(H$32:H$37,"KO") &gt; 0, "KO", "TODO"))</f>
        <v>OK</v>
      </c>
      <c r="I31" s="23"/>
      <c r="J31" s="23"/>
    </row>
    <row r="32" customFormat="false" ht="91" hidden="true" customHeight="false" outlineLevel="1" collapsed="false">
      <c r="A32" s="24" t="s">
        <v>131</v>
      </c>
      <c r="B32" s="12" t="s">
        <v>132</v>
      </c>
      <c r="C32" s="12" t="s">
        <v>133</v>
      </c>
      <c r="D32" s="12" t="s">
        <v>120</v>
      </c>
      <c r="E32" s="8" t="s">
        <v>134</v>
      </c>
      <c r="F32" s="12" t="s">
        <v>135</v>
      </c>
      <c r="G32" s="18"/>
      <c r="H32" s="10" t="s">
        <v>18</v>
      </c>
      <c r="I32" s="0" t="n">
        <v>2</v>
      </c>
      <c r="J32" s="18"/>
    </row>
    <row r="33" customFormat="false" ht="135.8" hidden="true" customHeight="false" outlineLevel="1" collapsed="false">
      <c r="A33" s="24" t="s">
        <v>131</v>
      </c>
      <c r="B33" s="12" t="s">
        <v>136</v>
      </c>
      <c r="C33" s="12" t="s">
        <v>137</v>
      </c>
      <c r="D33" s="12" t="s">
        <v>120</v>
      </c>
      <c r="E33" s="8" t="s">
        <v>138</v>
      </c>
      <c r="F33" s="12" t="s">
        <v>139</v>
      </c>
      <c r="G33" s="18"/>
      <c r="H33" s="10" t="s">
        <v>18</v>
      </c>
      <c r="I33" s="0" t="n">
        <v>3</v>
      </c>
      <c r="J33" s="18"/>
    </row>
    <row r="34" customFormat="false" ht="79.85" hidden="true" customHeight="false" outlineLevel="1" collapsed="false">
      <c r="A34" s="24" t="s">
        <v>131</v>
      </c>
      <c r="B34" s="12" t="s">
        <v>140</v>
      </c>
      <c r="C34" s="12" t="s">
        <v>141</v>
      </c>
      <c r="D34" s="12" t="s">
        <v>120</v>
      </c>
      <c r="E34" s="8" t="s">
        <v>142</v>
      </c>
      <c r="F34" s="12" t="s">
        <v>143</v>
      </c>
      <c r="G34" s="18"/>
      <c r="H34" s="10" t="s">
        <v>18</v>
      </c>
      <c r="I34" s="0" t="n">
        <v>3</v>
      </c>
      <c r="J34" s="18"/>
    </row>
    <row r="35" customFormat="false" ht="79.85" hidden="true" customHeight="false" outlineLevel="1" collapsed="false">
      <c r="A35" s="24" t="s">
        <v>131</v>
      </c>
      <c r="B35" s="12" t="s">
        <v>144</v>
      </c>
      <c r="C35" s="12" t="s">
        <v>145</v>
      </c>
      <c r="D35" s="12" t="s">
        <v>120</v>
      </c>
      <c r="E35" s="8" t="s">
        <v>146</v>
      </c>
      <c r="F35" s="12" t="s">
        <v>147</v>
      </c>
      <c r="G35" s="18"/>
      <c r="H35" s="10" t="s">
        <v>18</v>
      </c>
      <c r="I35" s="0" t="n">
        <v>3</v>
      </c>
      <c r="J35" s="18"/>
    </row>
    <row r="36" customFormat="false" ht="91" hidden="true" customHeight="false" outlineLevel="1" collapsed="false">
      <c r="A36" s="24" t="s">
        <v>131</v>
      </c>
      <c r="B36" s="12" t="s">
        <v>148</v>
      </c>
      <c r="C36" s="12" t="s">
        <v>149</v>
      </c>
      <c r="D36" s="12" t="s">
        <v>120</v>
      </c>
      <c r="E36" s="8" t="s">
        <v>150</v>
      </c>
      <c r="F36" s="12" t="s">
        <v>151</v>
      </c>
      <c r="G36" s="18"/>
      <c r="H36" s="10" t="s">
        <v>18</v>
      </c>
      <c r="I36" s="0" t="n">
        <v>3</v>
      </c>
      <c r="J36" s="18"/>
    </row>
    <row r="37" customFormat="false" ht="68.65" hidden="true" customHeight="false" outlineLevel="1" collapsed="false">
      <c r="A37" s="24" t="s">
        <v>131</v>
      </c>
      <c r="B37" s="12" t="s">
        <v>152</v>
      </c>
      <c r="C37" s="12" t="s">
        <v>153</v>
      </c>
      <c r="D37" s="12" t="s">
        <v>120</v>
      </c>
      <c r="E37" s="8" t="s">
        <v>154</v>
      </c>
      <c r="F37" s="12" t="s">
        <v>155</v>
      </c>
      <c r="G37" s="18"/>
      <c r="H37" s="10" t="s">
        <v>18</v>
      </c>
      <c r="I37" s="0" t="n">
        <v>2</v>
      </c>
      <c r="J37" s="18"/>
    </row>
    <row r="38" customFormat="false" ht="12.75" hidden="false" customHeight="true" outlineLevel="0" collapsed="false">
      <c r="A38" s="25" t="s">
        <v>156</v>
      </c>
      <c r="B38" s="25"/>
      <c r="C38" s="25"/>
      <c r="D38" s="25"/>
      <c r="E38" s="25"/>
      <c r="F38" s="25"/>
      <c r="G38" s="25"/>
      <c r="H38" s="4" t="str">
        <f aca="false">IF(COUNTIF(H$39:H$53,"OK") = COUNTA(H$39:H$53), "OK", IF(COUNTIF(H$39:H$53,"KO") &gt; 0, "KO", "TODO"))</f>
        <v>KO</v>
      </c>
      <c r="I38" s="26"/>
      <c r="J38" s="26"/>
    </row>
    <row r="39" customFormat="false" ht="35.05" hidden="true" customHeight="false" outlineLevel="1" collapsed="false">
      <c r="A39" s="27" t="s">
        <v>156</v>
      </c>
      <c r="B39" s="12" t="s">
        <v>157</v>
      </c>
      <c r="C39" s="12" t="s">
        <v>158</v>
      </c>
      <c r="D39" s="12" t="s">
        <v>104</v>
      </c>
      <c r="E39" s="12" t="s">
        <v>159</v>
      </c>
      <c r="F39" s="12" t="s">
        <v>160</v>
      </c>
      <c r="G39" s="18"/>
      <c r="H39" s="10" t="s">
        <v>18</v>
      </c>
      <c r="I39" s="0" t="n">
        <v>1</v>
      </c>
      <c r="J39" s="18"/>
    </row>
    <row r="40" customFormat="false" ht="35.05" hidden="true" customHeight="false" outlineLevel="1" collapsed="false">
      <c r="A40" s="27" t="s">
        <v>156</v>
      </c>
      <c r="B40" s="12" t="s">
        <v>161</v>
      </c>
      <c r="C40" s="12" t="s">
        <v>162</v>
      </c>
      <c r="D40" s="12" t="s">
        <v>120</v>
      </c>
      <c r="E40" s="12" t="s">
        <v>163</v>
      </c>
      <c r="F40" s="12" t="s">
        <v>164</v>
      </c>
      <c r="G40" s="18"/>
      <c r="H40" s="10" t="s">
        <v>18</v>
      </c>
      <c r="I40" s="0" t="n">
        <v>3</v>
      </c>
      <c r="J40" s="18"/>
    </row>
    <row r="41" customFormat="false" ht="46.25" hidden="true" customHeight="false" outlineLevel="1" collapsed="false">
      <c r="A41" s="27" t="s">
        <v>156</v>
      </c>
      <c r="B41" s="12" t="s">
        <v>165</v>
      </c>
      <c r="C41" s="12" t="s">
        <v>166</v>
      </c>
      <c r="D41" s="12" t="s">
        <v>120</v>
      </c>
      <c r="E41" s="12" t="s">
        <v>167</v>
      </c>
      <c r="F41" s="12" t="s">
        <v>168</v>
      </c>
      <c r="G41" s="18"/>
      <c r="H41" s="10" t="s">
        <v>18</v>
      </c>
      <c r="I41" s="0" t="n">
        <v>3</v>
      </c>
      <c r="J41" s="18"/>
    </row>
    <row r="42" customFormat="false" ht="46.25" hidden="true" customHeight="false" outlineLevel="1" collapsed="false">
      <c r="A42" s="27" t="s">
        <v>156</v>
      </c>
      <c r="B42" s="12" t="s">
        <v>169</v>
      </c>
      <c r="C42" s="12" t="s">
        <v>170</v>
      </c>
      <c r="D42" s="12" t="s">
        <v>120</v>
      </c>
      <c r="E42" s="12" t="s">
        <v>171</v>
      </c>
      <c r="F42" s="12" t="s">
        <v>172</v>
      </c>
      <c r="G42" s="18"/>
      <c r="H42" s="10" t="s">
        <v>18</v>
      </c>
      <c r="I42" s="0" t="n">
        <v>3</v>
      </c>
      <c r="J42" s="18"/>
    </row>
    <row r="43" customFormat="false" ht="46.25" hidden="true" customHeight="false" outlineLevel="1" collapsed="false">
      <c r="A43" s="27" t="s">
        <v>156</v>
      </c>
      <c r="B43" s="12" t="s">
        <v>173</v>
      </c>
      <c r="C43" s="12" t="s">
        <v>174</v>
      </c>
      <c r="D43" s="12" t="s">
        <v>120</v>
      </c>
      <c r="E43" s="12" t="s">
        <v>175</v>
      </c>
      <c r="F43" s="12" t="s">
        <v>176</v>
      </c>
      <c r="G43" s="18"/>
      <c r="H43" s="10" t="s">
        <v>18</v>
      </c>
      <c r="I43" s="0" t="n">
        <v>3</v>
      </c>
      <c r="J43" s="18"/>
    </row>
    <row r="44" customFormat="false" ht="68.65" hidden="true" customHeight="false" outlineLevel="1" collapsed="false">
      <c r="A44" s="27" t="s">
        <v>156</v>
      </c>
      <c r="B44" s="12" t="s">
        <v>177</v>
      </c>
      <c r="C44" s="12" t="s">
        <v>178</v>
      </c>
      <c r="D44" s="12" t="s">
        <v>120</v>
      </c>
      <c r="E44" s="12" t="s">
        <v>179</v>
      </c>
      <c r="F44" s="12" t="s">
        <v>180</v>
      </c>
      <c r="G44" s="18"/>
      <c r="H44" s="10" t="s">
        <v>18</v>
      </c>
      <c r="I44" s="0" t="n">
        <v>2</v>
      </c>
      <c r="J44" s="18"/>
    </row>
    <row r="45" customFormat="false" ht="79.85" hidden="true" customHeight="false" outlineLevel="1" collapsed="false">
      <c r="A45" s="27" t="s">
        <v>156</v>
      </c>
      <c r="B45" s="12" t="s">
        <v>181</v>
      </c>
      <c r="C45" s="12" t="s">
        <v>182</v>
      </c>
      <c r="D45" s="12" t="s">
        <v>120</v>
      </c>
      <c r="E45" s="12" t="s">
        <v>183</v>
      </c>
      <c r="F45" s="12" t="s">
        <v>184</v>
      </c>
      <c r="G45" s="18"/>
      <c r="H45" s="10" t="s">
        <v>18</v>
      </c>
      <c r="I45" s="0" t="n">
        <v>2</v>
      </c>
      <c r="J45" s="18"/>
    </row>
    <row r="46" customFormat="false" ht="135.8" hidden="true" customHeight="false" outlineLevel="1" collapsed="false">
      <c r="A46" s="27" t="s">
        <v>156</v>
      </c>
      <c r="B46" s="12" t="s">
        <v>185</v>
      </c>
      <c r="C46" s="12" t="s">
        <v>186</v>
      </c>
      <c r="D46" s="12" t="s">
        <v>120</v>
      </c>
      <c r="E46" s="12" t="s">
        <v>187</v>
      </c>
      <c r="F46" s="12" t="s">
        <v>184</v>
      </c>
      <c r="G46" s="18"/>
      <c r="H46" s="10" t="s">
        <v>52</v>
      </c>
      <c r="I46" s="0" t="n">
        <v>3</v>
      </c>
      <c r="J46" s="18" t="s">
        <v>188</v>
      </c>
    </row>
    <row r="47" customFormat="false" ht="57.45" hidden="true" customHeight="false" outlineLevel="1" collapsed="false">
      <c r="A47" s="27" t="s">
        <v>156</v>
      </c>
      <c r="B47" s="12" t="s">
        <v>189</v>
      </c>
      <c r="C47" s="12" t="s">
        <v>190</v>
      </c>
      <c r="D47" s="12" t="s">
        <v>120</v>
      </c>
      <c r="E47" s="12" t="s">
        <v>191</v>
      </c>
      <c r="F47" s="12" t="s">
        <v>192</v>
      </c>
      <c r="G47" s="18"/>
      <c r="H47" s="10" t="s">
        <v>52</v>
      </c>
      <c r="I47" s="0" t="n">
        <v>2</v>
      </c>
      <c r="J47" s="18" t="s">
        <v>193</v>
      </c>
    </row>
    <row r="48" customFormat="false" ht="46.25" hidden="true" customHeight="false" outlineLevel="1" collapsed="false">
      <c r="A48" s="27" t="s">
        <v>156</v>
      </c>
      <c r="B48" s="12" t="s">
        <v>194</v>
      </c>
      <c r="C48" s="12" t="s">
        <v>195</v>
      </c>
      <c r="D48" s="12" t="s">
        <v>120</v>
      </c>
      <c r="E48" s="12" t="s">
        <v>196</v>
      </c>
      <c r="F48" s="12" t="s">
        <v>197</v>
      </c>
      <c r="G48" s="18"/>
      <c r="H48" s="10" t="s">
        <v>18</v>
      </c>
      <c r="I48" s="0" t="n">
        <v>3</v>
      </c>
      <c r="J48" s="18"/>
    </row>
    <row r="49" customFormat="false" ht="46.25" hidden="true" customHeight="false" outlineLevel="1" collapsed="false">
      <c r="A49" s="27" t="s">
        <v>156</v>
      </c>
      <c r="B49" s="12" t="s">
        <v>198</v>
      </c>
      <c r="C49" s="12" t="s">
        <v>199</v>
      </c>
      <c r="D49" s="12" t="s">
        <v>120</v>
      </c>
      <c r="E49" s="12" t="s">
        <v>200</v>
      </c>
      <c r="F49" s="12" t="s">
        <v>201</v>
      </c>
      <c r="G49" s="18"/>
      <c r="H49" s="10" t="s">
        <v>18</v>
      </c>
      <c r="I49" s="0" t="n">
        <v>2</v>
      </c>
      <c r="J49" s="18"/>
    </row>
    <row r="50" customFormat="false" ht="135.8" hidden="true" customHeight="false" outlineLevel="1" collapsed="false">
      <c r="A50" s="27" t="s">
        <v>156</v>
      </c>
      <c r="B50" s="12" t="s">
        <v>202</v>
      </c>
      <c r="C50" s="12" t="s">
        <v>203</v>
      </c>
      <c r="D50" s="12" t="s">
        <v>120</v>
      </c>
      <c r="E50" s="12" t="s">
        <v>204</v>
      </c>
      <c r="F50" s="12" t="s">
        <v>205</v>
      </c>
      <c r="G50" s="18"/>
      <c r="H50" s="10" t="s">
        <v>52</v>
      </c>
      <c r="I50" s="0" t="n">
        <v>3</v>
      </c>
      <c r="J50" s="18" t="s">
        <v>206</v>
      </c>
    </row>
    <row r="51" customFormat="false" ht="23.35" hidden="true" customHeight="false" outlineLevel="1" collapsed="false">
      <c r="A51" s="27" t="s">
        <v>156</v>
      </c>
      <c r="B51" s="12" t="s">
        <v>207</v>
      </c>
      <c r="C51" s="12" t="s">
        <v>208</v>
      </c>
      <c r="D51" s="12" t="s">
        <v>120</v>
      </c>
      <c r="E51" s="12" t="s">
        <v>209</v>
      </c>
      <c r="F51" s="12" t="s">
        <v>210</v>
      </c>
      <c r="G51" s="18"/>
      <c r="H51" s="28" t="s">
        <v>91</v>
      </c>
      <c r="I51" s="0" t="n">
        <v>3</v>
      </c>
      <c r="J51" s="18" t="s">
        <v>92</v>
      </c>
    </row>
    <row r="52" customFormat="false" ht="34.35" hidden="true" customHeight="false" outlineLevel="1" collapsed="false">
      <c r="A52" s="27" t="s">
        <v>156</v>
      </c>
      <c r="B52" s="12" t="s">
        <v>211</v>
      </c>
      <c r="C52" s="12" t="s">
        <v>212</v>
      </c>
      <c r="D52" s="12" t="s">
        <v>120</v>
      </c>
      <c r="E52" s="12" t="s">
        <v>213</v>
      </c>
      <c r="F52" s="12" t="s">
        <v>214</v>
      </c>
      <c r="G52" s="18"/>
      <c r="H52" s="28" t="s">
        <v>91</v>
      </c>
      <c r="I52" s="0" t="n">
        <v>4</v>
      </c>
      <c r="J52" s="18" t="s">
        <v>92</v>
      </c>
    </row>
    <row r="53" customFormat="false" ht="46.25" hidden="true" customHeight="false" outlineLevel="1" collapsed="false">
      <c r="A53" s="27" t="s">
        <v>156</v>
      </c>
      <c r="B53" s="12" t="s">
        <v>215</v>
      </c>
      <c r="C53" s="12" t="s">
        <v>216</v>
      </c>
      <c r="D53" s="12" t="s">
        <v>120</v>
      </c>
      <c r="E53" s="12" t="s">
        <v>217</v>
      </c>
      <c r="F53" s="12" t="s">
        <v>218</v>
      </c>
      <c r="G53" s="18"/>
      <c r="H53" s="10" t="s">
        <v>18</v>
      </c>
      <c r="I53" s="0" t="n">
        <v>2</v>
      </c>
      <c r="J53" s="18"/>
    </row>
    <row r="54" customFormat="false" ht="12.75" hidden="false" customHeight="true" outlineLevel="0" collapsed="false">
      <c r="A54" s="29" t="s">
        <v>219</v>
      </c>
      <c r="B54" s="29"/>
      <c r="C54" s="29"/>
      <c r="D54" s="29"/>
      <c r="E54" s="29"/>
      <c r="F54" s="29"/>
      <c r="G54" s="29"/>
      <c r="H54" s="4" t="str">
        <f aca="false">IF(COUNTIF(H$55:H$61,"OK") = COUNTA(H$55:H$61), "OK", IF(COUNTIF(H$55:H$61,"KO") &gt; 0, "KO", "TODO"))</f>
        <v>KO</v>
      </c>
      <c r="I54" s="30"/>
      <c r="J54" s="30"/>
    </row>
    <row r="55" customFormat="false" ht="68.65" hidden="true" customHeight="false" outlineLevel="1" collapsed="false">
      <c r="A55" s="31" t="s">
        <v>219</v>
      </c>
      <c r="B55" s="12" t="s">
        <v>220</v>
      </c>
      <c r="C55" s="12" t="s">
        <v>221</v>
      </c>
      <c r="D55" s="12" t="s">
        <v>120</v>
      </c>
      <c r="E55" s="12" t="s">
        <v>222</v>
      </c>
      <c r="F55" s="12" t="s">
        <v>223</v>
      </c>
      <c r="G55" s="18"/>
      <c r="H55" s="10" t="s">
        <v>18</v>
      </c>
      <c r="I55" s="0" t="n">
        <v>1</v>
      </c>
      <c r="J55" s="18"/>
    </row>
    <row r="56" customFormat="false" ht="68.65" hidden="true" customHeight="false" outlineLevel="1" collapsed="false">
      <c r="A56" s="31" t="s">
        <v>219</v>
      </c>
      <c r="B56" s="12" t="s">
        <v>224</v>
      </c>
      <c r="C56" s="12" t="s">
        <v>225</v>
      </c>
      <c r="D56" s="12" t="s">
        <v>120</v>
      </c>
      <c r="E56" s="12" t="s">
        <v>226</v>
      </c>
      <c r="F56" s="12" t="s">
        <v>227</v>
      </c>
      <c r="G56" s="18"/>
      <c r="H56" s="10" t="s">
        <v>18</v>
      </c>
      <c r="I56" s="0" t="n">
        <v>2</v>
      </c>
      <c r="J56" s="18"/>
    </row>
    <row r="57" customFormat="false" ht="57.45" hidden="true" customHeight="false" outlineLevel="1" collapsed="false">
      <c r="A57" s="31" t="s">
        <v>219</v>
      </c>
      <c r="B57" s="12" t="s">
        <v>228</v>
      </c>
      <c r="C57" s="12" t="s">
        <v>229</v>
      </c>
      <c r="D57" s="12" t="s">
        <v>120</v>
      </c>
      <c r="E57" s="12" t="s">
        <v>230</v>
      </c>
      <c r="F57" s="12" t="s">
        <v>231</v>
      </c>
      <c r="G57" s="18"/>
      <c r="H57" s="10" t="s">
        <v>18</v>
      </c>
      <c r="I57" s="0" t="n">
        <v>3</v>
      </c>
      <c r="J57" s="18"/>
    </row>
    <row r="58" customFormat="false" ht="57.45" hidden="true" customHeight="false" outlineLevel="1" collapsed="false">
      <c r="A58" s="31" t="s">
        <v>219</v>
      </c>
      <c r="B58" s="12" t="s">
        <v>232</v>
      </c>
      <c r="C58" s="12" t="s">
        <v>233</v>
      </c>
      <c r="D58" s="12" t="s">
        <v>120</v>
      </c>
      <c r="E58" s="12" t="s">
        <v>234</v>
      </c>
      <c r="F58" s="12" t="s">
        <v>235</v>
      </c>
      <c r="G58" s="18"/>
      <c r="H58" s="10" t="s">
        <v>18</v>
      </c>
      <c r="I58" s="0" t="n">
        <v>3</v>
      </c>
      <c r="J58" s="18"/>
    </row>
    <row r="59" customFormat="false" ht="46.25" hidden="true" customHeight="false" outlineLevel="1" collapsed="false">
      <c r="A59" s="31" t="s">
        <v>219</v>
      </c>
      <c r="B59" s="12" t="s">
        <v>236</v>
      </c>
      <c r="C59" s="12" t="s">
        <v>237</v>
      </c>
      <c r="D59" s="12" t="s">
        <v>120</v>
      </c>
      <c r="E59" s="12" t="s">
        <v>238</v>
      </c>
      <c r="F59" s="12" t="s">
        <v>231</v>
      </c>
      <c r="G59" s="18"/>
      <c r="H59" s="10" t="s">
        <v>18</v>
      </c>
      <c r="I59" s="0" t="n">
        <v>3</v>
      </c>
      <c r="J59" s="18"/>
    </row>
    <row r="60" customFormat="false" ht="46.25" hidden="true" customHeight="false" outlineLevel="1" collapsed="false">
      <c r="A60" s="31" t="s">
        <v>219</v>
      </c>
      <c r="B60" s="12" t="s">
        <v>239</v>
      </c>
      <c r="C60" s="12" t="s">
        <v>240</v>
      </c>
      <c r="D60" s="12" t="s">
        <v>120</v>
      </c>
      <c r="E60" s="12" t="s">
        <v>241</v>
      </c>
      <c r="F60" s="12" t="s">
        <v>242</v>
      </c>
      <c r="G60" s="18"/>
      <c r="H60" s="10" t="s">
        <v>18</v>
      </c>
      <c r="I60" s="0" t="n">
        <v>3</v>
      </c>
      <c r="J60" s="18"/>
    </row>
    <row r="61" customFormat="false" ht="57.45" hidden="true" customHeight="false" outlineLevel="1" collapsed="false">
      <c r="A61" s="31" t="s">
        <v>219</v>
      </c>
      <c r="B61" s="12" t="s">
        <v>243</v>
      </c>
      <c r="C61" s="12" t="s">
        <v>244</v>
      </c>
      <c r="D61" s="12" t="s">
        <v>120</v>
      </c>
      <c r="E61" s="12" t="s">
        <v>245</v>
      </c>
      <c r="F61" s="12" t="s">
        <v>246</v>
      </c>
      <c r="G61" s="18"/>
      <c r="H61" s="10" t="s">
        <v>52</v>
      </c>
      <c r="I61" s="0" t="n">
        <v>3</v>
      </c>
      <c r="J61" s="18" t="s">
        <v>247</v>
      </c>
    </row>
    <row r="62" customFormat="false" ht="12.75" hidden="false" customHeight="true" outlineLevel="0" collapsed="false">
      <c r="A62" s="32" t="s">
        <v>248</v>
      </c>
      <c r="B62" s="32"/>
      <c r="C62" s="32"/>
      <c r="D62" s="32"/>
      <c r="E62" s="32"/>
      <c r="F62" s="32"/>
      <c r="G62" s="32"/>
      <c r="H62" s="4" t="str">
        <f aca="false">IF(COUNTIF(H$63:H$69,"OK") = COUNTA(H$63:H$69), "OK", IF(COUNTIF(H$63:H$69,"KO") &gt; 0, "KO", "TODO"))</f>
        <v>KO</v>
      </c>
      <c r="I62" s="33"/>
      <c r="J62" s="33"/>
    </row>
    <row r="63" customFormat="false" ht="68.65" hidden="true" customHeight="false" outlineLevel="1" collapsed="false">
      <c r="A63" s="34" t="s">
        <v>248</v>
      </c>
      <c r="B63" s="12" t="s">
        <v>249</v>
      </c>
      <c r="C63" s="12" t="s">
        <v>250</v>
      </c>
      <c r="D63" s="12" t="s">
        <v>120</v>
      </c>
      <c r="E63" s="12" t="s">
        <v>251</v>
      </c>
      <c r="F63" s="12" t="s">
        <v>252</v>
      </c>
      <c r="G63" s="18"/>
      <c r="H63" s="10" t="s">
        <v>52</v>
      </c>
      <c r="I63" s="0" t="n">
        <v>1</v>
      </c>
      <c r="J63" s="18" t="s">
        <v>253</v>
      </c>
    </row>
    <row r="64" customFormat="false" ht="68.65" hidden="true" customHeight="false" outlineLevel="1" collapsed="false">
      <c r="A64" s="34" t="s">
        <v>248</v>
      </c>
      <c r="B64" s="12" t="s">
        <v>254</v>
      </c>
      <c r="C64" s="12" t="s">
        <v>255</v>
      </c>
      <c r="D64" s="12" t="s">
        <v>120</v>
      </c>
      <c r="E64" s="12" t="s">
        <v>256</v>
      </c>
      <c r="F64" s="12" t="s">
        <v>257</v>
      </c>
      <c r="G64" s="18"/>
      <c r="H64" s="10" t="s">
        <v>18</v>
      </c>
      <c r="I64" s="0" t="n">
        <v>2</v>
      </c>
      <c r="J64" s="18"/>
    </row>
    <row r="65" customFormat="false" ht="91" hidden="true" customHeight="false" outlineLevel="1" collapsed="false">
      <c r="A65" s="34" t="s">
        <v>248</v>
      </c>
      <c r="B65" s="12" t="s">
        <v>258</v>
      </c>
      <c r="C65" s="12" t="s">
        <v>259</v>
      </c>
      <c r="D65" s="12" t="s">
        <v>120</v>
      </c>
      <c r="E65" s="12" t="s">
        <v>260</v>
      </c>
      <c r="F65" s="12" t="s">
        <v>261</v>
      </c>
      <c r="G65" s="18"/>
      <c r="H65" s="28" t="s">
        <v>91</v>
      </c>
      <c r="I65" s="0" t="n">
        <v>2</v>
      </c>
      <c r="J65" s="18" t="s">
        <v>262</v>
      </c>
    </row>
    <row r="66" customFormat="false" ht="45.4" hidden="true" customHeight="false" outlineLevel="1" collapsed="false">
      <c r="A66" s="34" t="s">
        <v>248</v>
      </c>
      <c r="B66" s="12" t="s">
        <v>263</v>
      </c>
      <c r="C66" s="12" t="s">
        <v>264</v>
      </c>
      <c r="D66" s="12" t="s">
        <v>120</v>
      </c>
      <c r="E66" s="12" t="s">
        <v>265</v>
      </c>
      <c r="F66" s="12" t="s">
        <v>266</v>
      </c>
      <c r="G66" s="18"/>
      <c r="H66" s="10" t="s">
        <v>52</v>
      </c>
      <c r="I66" s="0" t="n">
        <v>3</v>
      </c>
      <c r="J66" s="18" t="s">
        <v>267</v>
      </c>
    </row>
    <row r="67" customFormat="false" ht="46.25" hidden="true" customHeight="false" outlineLevel="1" collapsed="false">
      <c r="A67" s="34" t="s">
        <v>248</v>
      </c>
      <c r="B67" s="12" t="s">
        <v>268</v>
      </c>
      <c r="C67" s="12" t="s">
        <v>269</v>
      </c>
      <c r="D67" s="12" t="s">
        <v>120</v>
      </c>
      <c r="E67" s="12" t="s">
        <v>265</v>
      </c>
      <c r="F67" s="12" t="s">
        <v>270</v>
      </c>
      <c r="G67" s="18" t="s">
        <v>271</v>
      </c>
      <c r="H67" s="10" t="s">
        <v>18</v>
      </c>
      <c r="I67" s="0" t="n">
        <v>3</v>
      </c>
      <c r="J67" s="18"/>
    </row>
    <row r="68" customFormat="false" ht="57.45" hidden="true" customHeight="false" outlineLevel="1" collapsed="false">
      <c r="A68" s="34" t="s">
        <v>248</v>
      </c>
      <c r="B68" s="12" t="s">
        <v>272</v>
      </c>
      <c r="C68" s="12" t="s">
        <v>273</v>
      </c>
      <c r="D68" s="12" t="s">
        <v>120</v>
      </c>
      <c r="E68" s="12" t="s">
        <v>274</v>
      </c>
      <c r="F68" s="12" t="s">
        <v>275</v>
      </c>
      <c r="G68" s="18"/>
      <c r="H68" s="10" t="s">
        <v>18</v>
      </c>
      <c r="I68" s="0" t="n">
        <v>3</v>
      </c>
      <c r="J68" s="18" t="s">
        <v>276</v>
      </c>
    </row>
    <row r="69" customFormat="false" ht="46.25" hidden="true" customHeight="false" outlineLevel="1" collapsed="false">
      <c r="A69" s="34" t="s">
        <v>248</v>
      </c>
      <c r="B69" s="12" t="s">
        <v>277</v>
      </c>
      <c r="C69" s="12" t="s">
        <v>278</v>
      </c>
      <c r="D69" s="12" t="s">
        <v>120</v>
      </c>
      <c r="E69" s="12" t="s">
        <v>274</v>
      </c>
      <c r="F69" s="12" t="s">
        <v>270</v>
      </c>
      <c r="G69" s="18"/>
      <c r="H69" s="10" t="s">
        <v>18</v>
      </c>
      <c r="I69" s="0" t="n">
        <v>3</v>
      </c>
      <c r="J69" s="18"/>
    </row>
    <row r="70" customFormat="false" ht="12.75" hidden="false" customHeight="true" outlineLevel="0" collapsed="false">
      <c r="A70" s="35" t="s">
        <v>279</v>
      </c>
      <c r="B70" s="35"/>
      <c r="C70" s="35"/>
      <c r="D70" s="35"/>
      <c r="E70" s="35"/>
      <c r="F70" s="35"/>
      <c r="G70" s="35"/>
      <c r="H70" s="4" t="str">
        <f aca="false">IF(COUNTIF(H$71:H$77,"OK") = COUNTA(H$71:H$77), "OK", IF(COUNTIF(H$71:H$77,"KO") &gt; 0, "KO", "TODO"))</f>
        <v>KO</v>
      </c>
      <c r="I70" s="36"/>
      <c r="J70" s="36"/>
    </row>
    <row r="71" customFormat="false" ht="46.25" hidden="true" customHeight="false" outlineLevel="1" collapsed="false">
      <c r="A71" s="37" t="s">
        <v>279</v>
      </c>
      <c r="B71" s="12" t="s">
        <v>280</v>
      </c>
      <c r="C71" s="12" t="s">
        <v>281</v>
      </c>
      <c r="D71" s="12" t="s">
        <v>104</v>
      </c>
      <c r="E71" s="12" t="s">
        <v>282</v>
      </c>
      <c r="F71" s="12" t="s">
        <v>283</v>
      </c>
      <c r="G71" s="18"/>
      <c r="H71" s="10" t="s">
        <v>18</v>
      </c>
      <c r="I71" s="0" t="n">
        <v>1</v>
      </c>
      <c r="J71" s="18"/>
    </row>
    <row r="72" customFormat="false" ht="57.45" hidden="true" customHeight="false" outlineLevel="1" collapsed="false">
      <c r="A72" s="37" t="s">
        <v>279</v>
      </c>
      <c r="B72" s="12" t="s">
        <v>284</v>
      </c>
      <c r="C72" s="12" t="s">
        <v>285</v>
      </c>
      <c r="D72" s="12" t="s">
        <v>104</v>
      </c>
      <c r="E72" s="12" t="s">
        <v>286</v>
      </c>
      <c r="F72" s="12" t="s">
        <v>287</v>
      </c>
      <c r="G72" s="18"/>
      <c r="H72" s="10" t="s">
        <v>52</v>
      </c>
      <c r="I72" s="0" t="n">
        <v>1</v>
      </c>
      <c r="J72" s="18" t="s">
        <v>288</v>
      </c>
    </row>
    <row r="73" customFormat="false" ht="35.05" hidden="true" customHeight="false" outlineLevel="1" collapsed="false">
      <c r="A73" s="37" t="s">
        <v>279</v>
      </c>
      <c r="B73" s="12" t="s">
        <v>289</v>
      </c>
      <c r="C73" s="12" t="s">
        <v>290</v>
      </c>
      <c r="D73" s="12" t="s">
        <v>291</v>
      </c>
      <c r="E73" s="12" t="s">
        <v>282</v>
      </c>
      <c r="F73" s="12" t="s">
        <v>292</v>
      </c>
      <c r="G73" s="18"/>
      <c r="H73" s="10" t="s">
        <v>18</v>
      </c>
      <c r="I73" s="0" t="n">
        <v>4</v>
      </c>
      <c r="J73" s="18"/>
    </row>
    <row r="74" customFormat="false" ht="35.05" hidden="true" customHeight="false" outlineLevel="1" collapsed="false">
      <c r="A74" s="37" t="s">
        <v>279</v>
      </c>
      <c r="B74" s="12" t="s">
        <v>293</v>
      </c>
      <c r="C74" s="12" t="s">
        <v>294</v>
      </c>
      <c r="D74" s="12" t="s">
        <v>295</v>
      </c>
      <c r="E74" s="12" t="s">
        <v>282</v>
      </c>
      <c r="F74" s="12" t="s">
        <v>296</v>
      </c>
      <c r="G74" s="18"/>
      <c r="H74" s="10" t="s">
        <v>18</v>
      </c>
      <c r="I74" s="0" t="n">
        <v>4</v>
      </c>
      <c r="J74" s="18"/>
    </row>
    <row r="75" customFormat="false" ht="46.25" hidden="true" customHeight="false" outlineLevel="1" collapsed="false">
      <c r="A75" s="37" t="s">
        <v>279</v>
      </c>
      <c r="B75" s="12" t="s">
        <v>297</v>
      </c>
      <c r="C75" s="12" t="s">
        <v>298</v>
      </c>
      <c r="D75" s="12" t="s">
        <v>104</v>
      </c>
      <c r="E75" s="12" t="s">
        <v>282</v>
      </c>
      <c r="F75" s="12" t="s">
        <v>299</v>
      </c>
      <c r="G75" s="18"/>
      <c r="H75" s="10" t="s">
        <v>18</v>
      </c>
      <c r="I75" s="0" t="n">
        <v>4</v>
      </c>
      <c r="J75" s="18"/>
    </row>
    <row r="76" customFormat="false" ht="35.05" hidden="true" customHeight="false" outlineLevel="1" collapsed="false">
      <c r="A76" s="37" t="s">
        <v>279</v>
      </c>
      <c r="B76" s="12" t="s">
        <v>300</v>
      </c>
      <c r="C76" s="12" t="s">
        <v>301</v>
      </c>
      <c r="D76" s="12" t="s">
        <v>104</v>
      </c>
      <c r="E76" s="12" t="s">
        <v>302</v>
      </c>
      <c r="F76" s="12" t="s">
        <v>303</v>
      </c>
      <c r="G76" s="18"/>
      <c r="H76" s="10" t="s">
        <v>18</v>
      </c>
      <c r="I76" s="0" t="n">
        <v>4</v>
      </c>
      <c r="J76" s="18"/>
    </row>
    <row r="77" customFormat="false" ht="46.25" hidden="true" customHeight="false" outlineLevel="1" collapsed="false">
      <c r="A77" s="37" t="s">
        <v>279</v>
      </c>
      <c r="B77" s="12" t="s">
        <v>304</v>
      </c>
      <c r="C77" s="12" t="s">
        <v>305</v>
      </c>
      <c r="D77" s="12" t="s">
        <v>104</v>
      </c>
      <c r="E77" s="12" t="s">
        <v>306</v>
      </c>
      <c r="F77" s="12" t="s">
        <v>307</v>
      </c>
      <c r="G77" s="18"/>
      <c r="H77" s="10" t="s">
        <v>18</v>
      </c>
      <c r="I77" s="0" t="n">
        <v>3</v>
      </c>
      <c r="J77" s="18"/>
    </row>
    <row r="78" customFormat="false" ht="12.75" hidden="false" customHeight="true" outlineLevel="0" collapsed="false">
      <c r="A78" s="38" t="s">
        <v>308</v>
      </c>
      <c r="B78" s="38"/>
      <c r="C78" s="38"/>
      <c r="D78" s="38"/>
      <c r="E78" s="38"/>
      <c r="F78" s="38"/>
      <c r="G78" s="38"/>
      <c r="H78" s="4" t="str">
        <f aca="false">IF(COUNTIF(H$79:H$84,"OK") = COUNTA(H$79:H$84), "OK", IF(COUNTIF(H$79:H$84,"KO") &gt; 0, "KO", "TODO"))</f>
        <v>KO</v>
      </c>
      <c r="I78" s="39"/>
      <c r="J78" s="39"/>
    </row>
    <row r="79" customFormat="false" ht="57.45" hidden="true" customHeight="false" outlineLevel="1" collapsed="false">
      <c r="A79" s="40" t="s">
        <v>308</v>
      </c>
      <c r="B79" s="12" t="s">
        <v>309</v>
      </c>
      <c r="C79" s="12" t="s">
        <v>310</v>
      </c>
      <c r="D79" s="12" t="s">
        <v>104</v>
      </c>
      <c r="E79" s="12" t="s">
        <v>311</v>
      </c>
      <c r="F79" s="12" t="s">
        <v>312</v>
      </c>
      <c r="G79" s="18"/>
      <c r="H79" s="10" t="s">
        <v>18</v>
      </c>
      <c r="I79" s="0" t="n">
        <v>3</v>
      </c>
      <c r="J79" s="18"/>
    </row>
    <row r="80" customFormat="false" ht="46.25" hidden="true" customHeight="false" outlineLevel="1" collapsed="false">
      <c r="A80" s="40" t="s">
        <v>308</v>
      </c>
      <c r="B80" s="12" t="s">
        <v>313</v>
      </c>
      <c r="C80" s="12" t="s">
        <v>314</v>
      </c>
      <c r="D80" s="12" t="s">
        <v>104</v>
      </c>
      <c r="E80" s="12" t="s">
        <v>315</v>
      </c>
      <c r="F80" s="12" t="s">
        <v>316</v>
      </c>
      <c r="G80" s="18"/>
      <c r="H80" s="10" t="s">
        <v>52</v>
      </c>
      <c r="I80" s="0" t="n">
        <v>1</v>
      </c>
      <c r="J80" s="18" t="s">
        <v>317</v>
      </c>
    </row>
    <row r="81" customFormat="false" ht="46.25" hidden="true" customHeight="false" outlineLevel="1" collapsed="false">
      <c r="A81" s="40" t="s">
        <v>308</v>
      </c>
      <c r="B81" s="12" t="s">
        <v>318</v>
      </c>
      <c r="C81" s="12" t="s">
        <v>319</v>
      </c>
      <c r="D81" s="12" t="s">
        <v>104</v>
      </c>
      <c r="E81" s="12" t="s">
        <v>320</v>
      </c>
      <c r="F81" s="12" t="s">
        <v>321</v>
      </c>
      <c r="G81" s="18"/>
      <c r="H81" s="10" t="s">
        <v>52</v>
      </c>
      <c r="I81" s="0" t="n">
        <v>1</v>
      </c>
      <c r="J81" s="18" t="s">
        <v>322</v>
      </c>
    </row>
    <row r="82" customFormat="false" ht="46.25" hidden="true" customHeight="false" outlineLevel="1" collapsed="false">
      <c r="A82" s="40" t="s">
        <v>308</v>
      </c>
      <c r="B82" s="12" t="s">
        <v>323</v>
      </c>
      <c r="C82" s="12" t="s">
        <v>324</v>
      </c>
      <c r="D82" s="12" t="s">
        <v>104</v>
      </c>
      <c r="E82" s="12" t="s">
        <v>325</v>
      </c>
      <c r="F82" s="12" t="s">
        <v>326</v>
      </c>
      <c r="G82" s="18"/>
      <c r="H82" s="10" t="s">
        <v>52</v>
      </c>
      <c r="I82" s="0" t="n">
        <v>4</v>
      </c>
      <c r="J82" s="18"/>
    </row>
    <row r="83" customFormat="false" ht="57.45" hidden="true" customHeight="false" outlineLevel="1" collapsed="false">
      <c r="A83" s="40" t="s">
        <v>308</v>
      </c>
      <c r="B83" s="12" t="s">
        <v>323</v>
      </c>
      <c r="C83" s="12" t="s">
        <v>327</v>
      </c>
      <c r="D83" s="12" t="s">
        <v>104</v>
      </c>
      <c r="E83" s="12" t="s">
        <v>328</v>
      </c>
      <c r="F83" s="12" t="s">
        <v>329</v>
      </c>
      <c r="G83" s="18"/>
      <c r="H83" s="10" t="s">
        <v>91</v>
      </c>
      <c r="I83" s="0" t="n">
        <v>4</v>
      </c>
      <c r="J83" s="18"/>
    </row>
    <row r="84" customFormat="false" ht="57.45" hidden="true" customHeight="false" outlineLevel="1" collapsed="false">
      <c r="A84" s="40" t="s">
        <v>308</v>
      </c>
      <c r="B84" s="12" t="s">
        <v>330</v>
      </c>
      <c r="C84" s="12" t="s">
        <v>331</v>
      </c>
      <c r="D84" s="12" t="s">
        <v>104</v>
      </c>
      <c r="E84" s="12" t="s">
        <v>332</v>
      </c>
      <c r="F84" s="12" t="s">
        <v>333</v>
      </c>
      <c r="G84" s="18"/>
      <c r="H84" s="10" t="s">
        <v>91</v>
      </c>
      <c r="I84" s="0" t="n">
        <v>4</v>
      </c>
      <c r="J84" s="18"/>
    </row>
    <row r="85" customFormat="false" ht="12.75" hidden="false" customHeight="true" outlineLevel="0" collapsed="false">
      <c r="A85" s="41" t="s">
        <v>334</v>
      </c>
      <c r="B85" s="41"/>
      <c r="C85" s="41"/>
      <c r="D85" s="41"/>
      <c r="E85" s="41"/>
      <c r="F85" s="41"/>
      <c r="G85" s="41"/>
      <c r="H85" s="4" t="str">
        <f aca="false">IF(COUNTIF(H$86:H$90,"OK") = COUNTA(H$86:H$90), "OK", IF(COUNTIF(H$86:H$90,"KO") &gt; 0, "KO", "TODO"))</f>
        <v>OK</v>
      </c>
      <c r="I85" s="42"/>
      <c r="J85" s="42"/>
    </row>
    <row r="86" customFormat="false" ht="35.05" hidden="true" customHeight="false" outlineLevel="1" collapsed="false">
      <c r="A86" s="43" t="s">
        <v>334</v>
      </c>
      <c r="B86" s="12" t="s">
        <v>335</v>
      </c>
      <c r="C86" s="12" t="s">
        <v>336</v>
      </c>
      <c r="D86" s="12" t="s">
        <v>14</v>
      </c>
      <c r="E86" s="12" t="s">
        <v>337</v>
      </c>
      <c r="F86" s="12" t="s">
        <v>338</v>
      </c>
      <c r="G86" s="18"/>
      <c r="H86" s="10" t="s">
        <v>18</v>
      </c>
      <c r="I86" s="0" t="n">
        <v>1</v>
      </c>
      <c r="J86" s="18"/>
    </row>
    <row r="87" customFormat="false" ht="35.05" hidden="true" customHeight="false" outlineLevel="1" collapsed="false">
      <c r="A87" s="43" t="s">
        <v>334</v>
      </c>
      <c r="B87" s="12" t="s">
        <v>339</v>
      </c>
      <c r="C87" s="12" t="s">
        <v>340</v>
      </c>
      <c r="D87" s="12" t="s">
        <v>341</v>
      </c>
      <c r="E87" s="12" t="s">
        <v>342</v>
      </c>
      <c r="F87" s="12" t="s">
        <v>338</v>
      </c>
      <c r="G87" s="18"/>
      <c r="H87" s="10" t="s">
        <v>18</v>
      </c>
      <c r="I87" s="0" t="n">
        <v>1</v>
      </c>
      <c r="J87" s="18"/>
    </row>
    <row r="88" customFormat="false" ht="35.05" hidden="true" customHeight="false" outlineLevel="1" collapsed="false">
      <c r="A88" s="43" t="s">
        <v>334</v>
      </c>
      <c r="B88" s="12" t="s">
        <v>343</v>
      </c>
      <c r="C88" s="12" t="s">
        <v>344</v>
      </c>
      <c r="D88" s="12" t="s">
        <v>104</v>
      </c>
      <c r="E88" s="12" t="s">
        <v>345</v>
      </c>
      <c r="F88" s="12" t="s">
        <v>346</v>
      </c>
      <c r="G88" s="18"/>
      <c r="H88" s="10" t="s">
        <v>18</v>
      </c>
      <c r="I88" s="0" t="n">
        <v>1</v>
      </c>
      <c r="J88" s="18"/>
    </row>
    <row r="89" customFormat="false" ht="35.05" hidden="true" customHeight="false" outlineLevel="1" collapsed="false">
      <c r="A89" s="43" t="s">
        <v>334</v>
      </c>
      <c r="B89" s="12" t="s">
        <v>347</v>
      </c>
      <c r="C89" s="12" t="s">
        <v>348</v>
      </c>
      <c r="D89" s="12" t="s">
        <v>104</v>
      </c>
      <c r="E89" s="12" t="s">
        <v>349</v>
      </c>
      <c r="F89" s="12" t="s">
        <v>350</v>
      </c>
      <c r="G89" s="18"/>
      <c r="H89" s="10" t="s">
        <v>18</v>
      </c>
      <c r="I89" s="0" t="n">
        <v>1</v>
      </c>
      <c r="J89" s="18"/>
    </row>
    <row r="90" customFormat="false" ht="135.8" hidden="true" customHeight="false" outlineLevel="1" collapsed="false">
      <c r="A90" s="43" t="s">
        <v>334</v>
      </c>
      <c r="B90" s="12" t="s">
        <v>351</v>
      </c>
      <c r="C90" s="12" t="s">
        <v>352</v>
      </c>
      <c r="D90" s="12" t="s">
        <v>104</v>
      </c>
      <c r="E90" s="12" t="s">
        <v>353</v>
      </c>
      <c r="F90" s="12" t="s">
        <v>354</v>
      </c>
      <c r="G90" s="18"/>
      <c r="H90" s="10" t="s">
        <v>18</v>
      </c>
      <c r="I90" s="0" t="n">
        <v>1</v>
      </c>
      <c r="J90" s="18"/>
    </row>
  </sheetData>
  <mergeCells count="21">
    <mergeCell ref="A1:J1"/>
    <mergeCell ref="A3:G3"/>
    <mergeCell ref="I3:J3"/>
    <mergeCell ref="A10:G10"/>
    <mergeCell ref="I10:J10"/>
    <mergeCell ref="A22:G22"/>
    <mergeCell ref="I22:J22"/>
    <mergeCell ref="A31:G31"/>
    <mergeCell ref="I31:J31"/>
    <mergeCell ref="A38:G38"/>
    <mergeCell ref="I38:J38"/>
    <mergeCell ref="A54:G54"/>
    <mergeCell ref="I54:J54"/>
    <mergeCell ref="A62:G62"/>
    <mergeCell ref="I62:J62"/>
    <mergeCell ref="A70:G70"/>
    <mergeCell ref="I70:J70"/>
    <mergeCell ref="A78:G78"/>
    <mergeCell ref="I78:J78"/>
    <mergeCell ref="A85:G85"/>
    <mergeCell ref="I85:J85"/>
  </mergeCells>
  <conditionalFormatting sqref="H3:H90">
    <cfRule type="cellIs" priority="2" operator="equal" aboveAverage="0" equalAverage="0" bottom="0" percent="0" rank="0" text="" dxfId="0">
      <formula>"TODO"</formula>
    </cfRule>
    <cfRule type="cellIs" priority="3" operator="equal" aboveAverage="0" equalAverage="0" bottom="0" percent="0" rank="0" text="" dxfId="1">
      <formula>"OK"</formula>
    </cfRule>
    <cfRule type="cellIs" priority="4" operator="equal" aboveAverage="0" equalAverage="0" bottom="0" percent="0" rank="0" text="" dxfId="2">
      <formula>"KO"</formula>
    </cfRule>
    <cfRule type="cellIs" priority="5" operator="equal" aboveAverage="0" equalAverage="0" bottom="0" percent="0" rank="0" text="" dxfId="3">
      <formula>"IN PROGRESS"</formula>
    </cfRule>
    <cfRule type="cellIs" priority="6" operator="equal" aboveAverage="0" equalAverage="0" bottom="0" percent="0" rank="0" text="" dxfId="4">
      <formula>"NON APPLICABLE"</formula>
    </cfRule>
  </conditionalFormatting>
  <conditionalFormatting sqref="I4:I6 I7:I9 I11:I14 I15:I21 I23:I24 I25:I30 I32:I37 I41:I50 I51:I53 I39:I40 I55:I57 I61 I58:I60 I63:I66 I67:I69 I71:I73 I74:I77 I79 I84 I80:I83 I86:I88 I90 I89">
    <cfRule type="colorScale" priority="7">
      <colorScale>
        <cfvo type="num" val="1"/>
        <cfvo type="num" val="4"/>
        <color rgb="FFFFAA95"/>
        <color rgb="FFFFFFA6"/>
      </colorScale>
    </cfRule>
  </conditionalFormatting>
  <dataValidations count="1">
    <dataValidation allowBlank="false" errorStyle="stop" operator="between" showDropDown="false" showErrorMessage="true" showInputMessage="false" sqref="A3:J90" type="none">
      <formula1>0</formula1>
      <formula2>0</formula2>
    </dataValidation>
  </dataValidations>
  <printOptions headings="false" gridLines="false" gridLinesSet="true" horizontalCentered="true" verticalCentered="false"/>
  <pageMargins left="0.700694444444445" right="0.700694444444445" top="0.752083333333333" bottom="0.752083333333333" header="0.3" footer="0.3"/>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&amp;C&amp;"Arial,Gras"Page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453125" defaultRowHeight="12" customHeight="false" zeroHeight="false" outlineLevelRow="0" outlineLevelCol="0"/>
  <cols>
    <col collapsed="false" customWidth="true" hidden="false" outlineLevel="0" max="1" min="1" style="0" width="19.91"/>
    <col collapsed="false" customWidth="true" hidden="false" outlineLevel="0" max="2" min="2" style="0" width="16.63"/>
    <col collapsed="false" customWidth="true" hidden="false" outlineLevel="0" max="3" min="3" style="0" width="7"/>
    <col collapsed="false" customWidth="true" hidden="false" outlineLevel="0" max="4" min="4" style="0" width="2.54"/>
    <col collapsed="false" customWidth="true" hidden="false" outlineLevel="0" max="5" min="5" style="0" width="18"/>
    <col collapsed="false" customWidth="true" hidden="false" outlineLevel="0" max="6" min="6" style="0" width="13.18"/>
    <col collapsed="false" customWidth="true" hidden="false" outlineLevel="0" max="7" min="7" style="0" width="7"/>
    <col collapsed="false" customWidth="true" hidden="false" outlineLevel="0" max="10" min="10" style="0" width="14.45"/>
  </cols>
  <sheetData>
    <row r="1" customFormat="false" ht="12.75" hidden="false" customHeight="true" outlineLevel="0" collapsed="false">
      <c r="L1" s="44"/>
      <c r="M1" s="44"/>
      <c r="N1" s="44"/>
      <c r="O1" s="44"/>
      <c r="P1" s="44"/>
      <c r="Q1" s="44"/>
      <c r="R1" s="44"/>
      <c r="S1" s="44"/>
      <c r="T1" s="44"/>
      <c r="U1" s="44"/>
      <c r="V1" s="44"/>
      <c r="W1" s="44"/>
      <c r="X1" s="44"/>
      <c r="Y1" s="44"/>
      <c r="Z1" s="44"/>
      <c r="AA1" s="44"/>
      <c r="AB1" s="44"/>
      <c r="AC1" s="44"/>
      <c r="AD1" s="44"/>
      <c r="AE1" s="44"/>
    </row>
    <row r="4" customFormat="false" ht="12.75" hidden="false" customHeight="true" outlineLevel="0" collapsed="false">
      <c r="A4" s="45" t="s">
        <v>355</v>
      </c>
      <c r="B4" s="45" t="s">
        <v>356</v>
      </c>
      <c r="I4" s="45" t="s">
        <v>9</v>
      </c>
      <c r="J4" s="45" t="s">
        <v>355</v>
      </c>
      <c r="K4" s="45" t="s">
        <v>356</v>
      </c>
      <c r="L4" s="44"/>
      <c r="M4" s="44"/>
      <c r="N4" s="44"/>
      <c r="O4" s="44"/>
      <c r="P4" s="44"/>
      <c r="Q4" s="44"/>
      <c r="R4" s="44"/>
      <c r="S4" s="44"/>
      <c r="T4" s="44"/>
      <c r="U4" s="44"/>
      <c r="V4" s="44"/>
      <c r="W4" s="44"/>
      <c r="X4" s="44"/>
      <c r="Y4" s="44"/>
      <c r="Z4" s="44"/>
      <c r="AA4" s="44"/>
      <c r="AB4" s="44"/>
      <c r="AC4" s="44"/>
      <c r="AD4" s="44"/>
      <c r="AE4" s="44"/>
    </row>
    <row r="5" customFormat="false" ht="12.75" hidden="false" customHeight="true" outlineLevel="0" collapsed="false">
      <c r="A5" s="4" t="s">
        <v>18</v>
      </c>
      <c r="B5" s="44" t="n">
        <f aca="false">COUNTIFS('Liste Test'!H:H,A5, 'Liste Test'!I:I, "&gt;0")</f>
        <v>61</v>
      </c>
      <c r="I5" s="46" t="n">
        <v>1</v>
      </c>
      <c r="J5" s="4" t="s">
        <v>18</v>
      </c>
      <c r="K5" s="44" t="n">
        <f aca="false">COUNTIFS('Liste Test'!H:H,J5,'Liste Test'!I:I,I5)</f>
        <v>15</v>
      </c>
      <c r="L5" s="44"/>
      <c r="M5" s="44"/>
      <c r="N5" s="44"/>
      <c r="O5" s="44"/>
      <c r="P5" s="44"/>
      <c r="Q5" s="44"/>
      <c r="R5" s="44"/>
      <c r="S5" s="44"/>
      <c r="T5" s="44"/>
      <c r="U5" s="44"/>
      <c r="V5" s="44"/>
      <c r="W5" s="44"/>
      <c r="X5" s="44"/>
      <c r="Y5" s="44"/>
      <c r="Z5" s="44"/>
      <c r="AA5" s="44"/>
      <c r="AB5" s="44"/>
      <c r="AC5" s="44"/>
      <c r="AD5" s="44"/>
      <c r="AE5" s="44"/>
    </row>
    <row r="6" customFormat="false" ht="12.75" hidden="false" customHeight="true" outlineLevel="0" collapsed="false">
      <c r="A6" s="47" t="s">
        <v>52</v>
      </c>
      <c r="B6" s="44" t="n">
        <f aca="false">COUNTIFS('Liste Test'!H:H,A6,'Liste Test'!I:I,"&gt;0")</f>
        <v>11</v>
      </c>
      <c r="I6" s="46"/>
      <c r="J6" s="47" t="s">
        <v>52</v>
      </c>
      <c r="K6" s="44" t="n">
        <f aca="false">COUNTIFS('Liste Test'!H:H,J6,'Liste Test'!I:I,I5)</f>
        <v>5</v>
      </c>
      <c r="L6" s="44"/>
      <c r="M6" s="44"/>
      <c r="N6" s="44"/>
      <c r="O6" s="44"/>
      <c r="P6" s="44"/>
      <c r="Q6" s="44"/>
      <c r="R6" s="44"/>
      <c r="S6" s="44"/>
      <c r="T6" s="44"/>
      <c r="U6" s="44"/>
      <c r="V6" s="44"/>
      <c r="W6" s="44"/>
      <c r="X6" s="44"/>
      <c r="Y6" s="44"/>
      <c r="Z6" s="44"/>
      <c r="AA6" s="44"/>
      <c r="AB6" s="44"/>
      <c r="AC6" s="44"/>
      <c r="AD6" s="44"/>
      <c r="AE6" s="44"/>
    </row>
    <row r="7" customFormat="false" ht="12.75" hidden="false" customHeight="true" outlineLevel="0" collapsed="false">
      <c r="A7" s="48" t="s">
        <v>357</v>
      </c>
      <c r="B7" s="44" t="n">
        <f aca="false">COUNTIFS('Liste Test'!H:H,A7,'Liste Test'!I:I,"&gt;0")</f>
        <v>0</v>
      </c>
      <c r="I7" s="46"/>
      <c r="J7" s="48" t="s">
        <v>357</v>
      </c>
      <c r="K7" s="44" t="n">
        <f aca="false">COUNTIFS('Liste Test'!H:H,J7,'Liste Test'!I:I,I5)</f>
        <v>0</v>
      </c>
      <c r="L7" s="44"/>
      <c r="M7" s="44"/>
      <c r="N7" s="44"/>
      <c r="O7" s="44"/>
      <c r="P7" s="44"/>
      <c r="Q7" s="44"/>
      <c r="R7" s="44"/>
      <c r="S7" s="44"/>
      <c r="T7" s="44"/>
      <c r="U7" s="44"/>
      <c r="V7" s="44"/>
      <c r="W7" s="44"/>
      <c r="X7" s="44"/>
      <c r="Y7" s="44"/>
      <c r="Z7" s="44"/>
      <c r="AA7" s="44"/>
      <c r="AB7" s="44"/>
      <c r="AC7" s="44"/>
      <c r="AD7" s="44"/>
      <c r="AE7" s="44"/>
    </row>
    <row r="8" customFormat="false" ht="12.75" hidden="false" customHeight="true" outlineLevel="0" collapsed="false">
      <c r="A8" s="49" t="s">
        <v>358</v>
      </c>
      <c r="B8" s="44" t="n">
        <f aca="false">COUNTIFS('Liste Test'!H:H,A8,'Liste Test'!I:I,"&gt;0")</f>
        <v>0</v>
      </c>
      <c r="I8" s="46"/>
      <c r="J8" s="49" t="s">
        <v>358</v>
      </c>
      <c r="K8" s="44" t="n">
        <f aca="false">COUNTIFS('Liste Test'!H:H,J8,'Liste Test'!I:I,I5)</f>
        <v>0</v>
      </c>
      <c r="L8" s="44"/>
      <c r="M8" s="44"/>
      <c r="N8" s="44"/>
      <c r="O8" s="44"/>
      <c r="P8" s="44"/>
      <c r="Q8" s="44"/>
      <c r="R8" s="44"/>
      <c r="S8" s="44"/>
      <c r="T8" s="44"/>
      <c r="U8" s="44"/>
      <c r="V8" s="44"/>
      <c r="W8" s="44"/>
      <c r="X8" s="44"/>
      <c r="Y8" s="44"/>
      <c r="Z8" s="44"/>
      <c r="AA8" s="44"/>
      <c r="AB8" s="44"/>
      <c r="AC8" s="44"/>
      <c r="AD8" s="44"/>
      <c r="AE8" s="44"/>
    </row>
    <row r="9" customFormat="false" ht="12.75" hidden="false" customHeight="true" outlineLevel="0" collapsed="false">
      <c r="A9" s="50" t="s">
        <v>91</v>
      </c>
      <c r="B9" s="44" t="n">
        <f aca="false">COUNTIFS('Liste Test'!H:H,A9,'Liste Test'!I:I,"&gt;0")</f>
        <v>6</v>
      </c>
      <c r="I9" s="46"/>
      <c r="J9" s="50" t="s">
        <v>91</v>
      </c>
      <c r="K9" s="44" t="n">
        <f aca="false">COUNTIFS('Liste Test'!H:H,J9,'Liste Test'!I:I,I5)</f>
        <v>0</v>
      </c>
      <c r="L9" s="44"/>
      <c r="M9" s="44"/>
      <c r="N9" s="44"/>
      <c r="O9" s="44"/>
      <c r="P9" s="44"/>
      <c r="Q9" s="44"/>
      <c r="R9" s="44"/>
      <c r="S9" s="44"/>
      <c r="T9" s="44"/>
      <c r="U9" s="44"/>
      <c r="V9" s="44"/>
      <c r="W9" s="44"/>
      <c r="X9" s="44"/>
      <c r="Y9" s="44"/>
      <c r="Z9" s="44"/>
      <c r="AA9" s="44"/>
      <c r="AB9" s="44"/>
      <c r="AC9" s="44"/>
      <c r="AD9" s="44"/>
      <c r="AE9" s="44"/>
    </row>
    <row r="10" customFormat="false" ht="12.75" hidden="false" customHeight="true" outlineLevel="0" collapsed="false">
      <c r="I10" s="46" t="n">
        <v>2</v>
      </c>
      <c r="J10" s="4" t="s">
        <v>18</v>
      </c>
      <c r="K10" s="44" t="n">
        <f aca="false">COUNTIFS('Liste Test'!H:H,J10,'Liste Test'!I:I,I10)</f>
        <v>14</v>
      </c>
      <c r="L10" s="44"/>
      <c r="M10" s="44"/>
      <c r="N10" s="44"/>
      <c r="O10" s="44"/>
      <c r="P10" s="44"/>
      <c r="Q10" s="44"/>
      <c r="R10" s="44"/>
      <c r="S10" s="44"/>
      <c r="T10" s="44"/>
      <c r="U10" s="44"/>
      <c r="V10" s="44"/>
      <c r="W10" s="44"/>
      <c r="X10" s="44"/>
      <c r="Y10" s="44"/>
      <c r="Z10" s="44"/>
      <c r="AA10" s="44"/>
      <c r="AB10" s="44"/>
      <c r="AC10" s="44"/>
      <c r="AD10" s="44"/>
      <c r="AE10" s="44"/>
    </row>
    <row r="11" customFormat="false" ht="12.75" hidden="false" customHeight="true" outlineLevel="0" collapsed="false">
      <c r="I11" s="46"/>
      <c r="J11" s="47" t="s">
        <v>52</v>
      </c>
      <c r="K11" s="44" t="n">
        <f aca="false">COUNTIFS('Liste Test'!H:H,J11,'Liste Test'!I:I,I10)</f>
        <v>1</v>
      </c>
      <c r="L11" s="44"/>
      <c r="M11" s="44"/>
      <c r="N11" s="44"/>
      <c r="O11" s="44"/>
      <c r="P11" s="44"/>
      <c r="Q11" s="44"/>
      <c r="R11" s="44"/>
      <c r="S11" s="44"/>
      <c r="T11" s="44"/>
      <c r="U11" s="44"/>
      <c r="V11" s="44"/>
      <c r="W11" s="44"/>
      <c r="X11" s="44"/>
      <c r="Y11" s="44"/>
      <c r="Z11" s="44"/>
      <c r="AA11" s="44"/>
      <c r="AB11" s="44"/>
      <c r="AC11" s="44"/>
      <c r="AD11" s="44"/>
      <c r="AE11" s="44"/>
    </row>
    <row r="12" customFormat="false" ht="12.75" hidden="false" customHeight="true" outlineLevel="0" collapsed="false">
      <c r="I12" s="46"/>
      <c r="J12" s="48" t="s">
        <v>357</v>
      </c>
      <c r="K12" s="44" t="n">
        <f aca="false">COUNTIFS('Liste Test'!H:H,J12,'Liste Test'!I:I,I10)</f>
        <v>0</v>
      </c>
      <c r="L12" s="44"/>
      <c r="M12" s="44"/>
      <c r="N12" s="44"/>
      <c r="O12" s="44"/>
      <c r="P12" s="44"/>
      <c r="Q12" s="44"/>
      <c r="R12" s="44"/>
      <c r="S12" s="44"/>
      <c r="T12" s="44"/>
      <c r="U12" s="44"/>
      <c r="V12" s="44"/>
      <c r="W12" s="44"/>
      <c r="X12" s="44"/>
      <c r="Y12" s="44"/>
      <c r="Z12" s="44"/>
      <c r="AA12" s="44"/>
      <c r="AB12" s="44"/>
      <c r="AC12" s="44"/>
      <c r="AD12" s="44"/>
      <c r="AE12" s="44"/>
    </row>
    <row r="13" customFormat="false" ht="12.75" hidden="false" customHeight="true" outlineLevel="0" collapsed="false">
      <c r="I13" s="46"/>
      <c r="J13" s="49" t="s">
        <v>358</v>
      </c>
      <c r="K13" s="44" t="n">
        <f aca="false">COUNTIFS('Liste Test'!H:H,J13,'Liste Test'!I:I,I10)</f>
        <v>0</v>
      </c>
      <c r="L13" s="44"/>
      <c r="M13" s="44"/>
      <c r="N13" s="44"/>
      <c r="O13" s="44"/>
      <c r="P13" s="44"/>
      <c r="Q13" s="44"/>
      <c r="R13" s="44"/>
      <c r="S13" s="44"/>
      <c r="T13" s="44"/>
      <c r="U13" s="44"/>
      <c r="V13" s="44"/>
      <c r="W13" s="44"/>
      <c r="X13" s="44"/>
      <c r="Y13" s="44"/>
      <c r="Z13" s="44"/>
      <c r="AA13" s="44"/>
      <c r="AB13" s="44"/>
      <c r="AC13" s="44"/>
      <c r="AD13" s="44"/>
      <c r="AE13" s="44"/>
    </row>
    <row r="14" customFormat="false" ht="12.75" hidden="false" customHeight="true" outlineLevel="0" collapsed="false">
      <c r="I14" s="46"/>
      <c r="J14" s="50" t="s">
        <v>91</v>
      </c>
      <c r="K14" s="44" t="n">
        <f aca="false">COUNTIFS('Liste Test'!H:H,J14,'Liste Test'!I:I,I10)</f>
        <v>1</v>
      </c>
      <c r="L14" s="44"/>
      <c r="M14" s="44"/>
      <c r="N14" s="44"/>
      <c r="O14" s="44"/>
      <c r="P14" s="44"/>
      <c r="Q14" s="44"/>
      <c r="R14" s="44"/>
      <c r="S14" s="44"/>
      <c r="T14" s="44"/>
      <c r="U14" s="44"/>
      <c r="V14" s="44"/>
      <c r="W14" s="44"/>
      <c r="X14" s="44"/>
      <c r="Y14" s="44"/>
      <c r="Z14" s="44"/>
      <c r="AA14" s="44"/>
      <c r="AB14" s="44"/>
      <c r="AC14" s="44"/>
      <c r="AD14" s="44"/>
      <c r="AE14" s="44"/>
    </row>
    <row r="15" customFormat="false" ht="12.75" hidden="false" customHeight="true" outlineLevel="0" collapsed="false">
      <c r="I15" s="46" t="n">
        <v>3</v>
      </c>
      <c r="J15" s="4" t="s">
        <v>18</v>
      </c>
      <c r="K15" s="44" t="n">
        <f aca="false">COUNTIFS('Liste Test'!H:H,J15,'Liste Test'!I:I,I15)</f>
        <v>21</v>
      </c>
      <c r="L15" s="44"/>
      <c r="M15" s="44"/>
      <c r="N15" s="44"/>
      <c r="O15" s="44"/>
      <c r="P15" s="44"/>
      <c r="Q15" s="44"/>
      <c r="R15" s="44"/>
      <c r="S15" s="44"/>
      <c r="T15" s="44"/>
      <c r="U15" s="44"/>
      <c r="V15" s="44"/>
      <c r="W15" s="44"/>
      <c r="X15" s="44"/>
      <c r="Y15" s="44"/>
      <c r="Z15" s="44"/>
      <c r="AA15" s="44"/>
      <c r="AB15" s="44"/>
      <c r="AC15" s="44"/>
      <c r="AD15" s="44"/>
      <c r="AE15" s="44"/>
    </row>
    <row r="16" customFormat="false" ht="12.75" hidden="false" customHeight="true" outlineLevel="0" collapsed="false">
      <c r="I16" s="46"/>
      <c r="J16" s="47" t="s">
        <v>52</v>
      </c>
      <c r="K16" s="44" t="n">
        <f aca="false">COUNTIFS('Liste Test'!H:H,J16,'Liste Test'!I:I,I15)</f>
        <v>4</v>
      </c>
      <c r="L16" s="44"/>
      <c r="M16" s="44"/>
      <c r="N16" s="44"/>
      <c r="O16" s="44"/>
      <c r="P16" s="44"/>
      <c r="Q16" s="44"/>
      <c r="R16" s="44"/>
      <c r="S16" s="44"/>
      <c r="T16" s="44"/>
      <c r="U16" s="44"/>
      <c r="V16" s="44"/>
      <c r="W16" s="44"/>
      <c r="X16" s="44"/>
      <c r="Y16" s="44"/>
      <c r="Z16" s="44"/>
      <c r="AA16" s="44"/>
      <c r="AB16" s="44"/>
      <c r="AC16" s="44"/>
      <c r="AD16" s="44"/>
      <c r="AE16" s="44"/>
    </row>
    <row r="17" customFormat="false" ht="12.75" hidden="false" customHeight="true" outlineLevel="0" collapsed="false">
      <c r="I17" s="46"/>
      <c r="J17" s="48" t="s">
        <v>357</v>
      </c>
      <c r="K17" s="44" t="n">
        <f aca="false">COUNTIFS('Liste Test'!H:H,J17,'Liste Test'!I:I,I15)</f>
        <v>0</v>
      </c>
      <c r="L17" s="44"/>
      <c r="M17" s="44"/>
      <c r="N17" s="44"/>
      <c r="O17" s="44"/>
      <c r="P17" s="44"/>
      <c r="Q17" s="44"/>
      <c r="R17" s="44"/>
      <c r="S17" s="44"/>
      <c r="T17" s="44"/>
      <c r="U17" s="44"/>
      <c r="V17" s="44"/>
      <c r="W17" s="44"/>
      <c r="X17" s="44"/>
      <c r="Y17" s="44"/>
      <c r="Z17" s="44"/>
      <c r="AA17" s="44"/>
      <c r="AB17" s="44"/>
      <c r="AC17" s="44"/>
      <c r="AD17" s="44"/>
      <c r="AE17" s="44"/>
    </row>
    <row r="18" customFormat="false" ht="12.75" hidden="false" customHeight="true" outlineLevel="0" collapsed="false">
      <c r="A18" s="45" t="s">
        <v>359</v>
      </c>
      <c r="B18" s="45" t="s">
        <v>355</v>
      </c>
      <c r="C18" s="45" t="s">
        <v>356</v>
      </c>
      <c r="D18" s="44"/>
      <c r="E18" s="45" t="s">
        <v>359</v>
      </c>
      <c r="F18" s="45" t="s">
        <v>355</v>
      </c>
      <c r="G18" s="45" t="s">
        <v>356</v>
      </c>
      <c r="H18" s="44"/>
      <c r="I18" s="46"/>
      <c r="J18" s="49" t="s">
        <v>358</v>
      </c>
      <c r="K18" s="44" t="n">
        <f aca="false">COUNTIFS('Liste Test'!H:H,J18,'Liste Test'!I:I,I15)</f>
        <v>0</v>
      </c>
      <c r="L18" s="44"/>
      <c r="M18" s="44"/>
      <c r="N18" s="44"/>
      <c r="O18" s="44"/>
      <c r="P18" s="44"/>
      <c r="Q18" s="44"/>
      <c r="R18" s="44"/>
      <c r="S18" s="44"/>
      <c r="T18" s="44"/>
      <c r="U18" s="44"/>
      <c r="V18" s="44"/>
      <c r="W18" s="44"/>
      <c r="X18" s="44"/>
      <c r="Y18" s="44"/>
      <c r="Z18" s="44"/>
      <c r="AA18" s="44"/>
      <c r="AB18" s="44"/>
      <c r="AC18" s="44"/>
      <c r="AD18" s="44"/>
      <c r="AE18" s="44"/>
    </row>
    <row r="19" customFormat="false" ht="12.75" hidden="false" customHeight="true" outlineLevel="0" collapsed="false">
      <c r="A19" s="51" t="s">
        <v>11</v>
      </c>
      <c r="B19" s="4" t="s">
        <v>18</v>
      </c>
      <c r="C19" s="44" t="n">
        <f aca="false">COUNTIFS('Liste Test'!H:H,B19,'Liste Test'!A:A,A$19,'Liste Test'!I:I, "&gt;0")</f>
        <v>6</v>
      </c>
      <c r="D19" s="44"/>
      <c r="E19" s="52" t="s">
        <v>219</v>
      </c>
      <c r="F19" s="4" t="s">
        <v>18</v>
      </c>
      <c r="G19" s="44" t="n">
        <f aca="false">COUNTIFS('Liste Test'!H:H,F19,'Liste Test'!A:A,E$19,'Liste Test'!I:I, "&gt;0")</f>
        <v>6</v>
      </c>
      <c r="H19" s="44"/>
      <c r="I19" s="46"/>
      <c r="J19" s="50" t="s">
        <v>91</v>
      </c>
      <c r="K19" s="44" t="n">
        <f aca="false">COUNTIFS('Liste Test'!H:H,J19,'Liste Test'!I:I,I15)</f>
        <v>1</v>
      </c>
      <c r="L19" s="44"/>
      <c r="M19" s="44"/>
      <c r="N19" s="44"/>
      <c r="O19" s="44"/>
      <c r="P19" s="44"/>
      <c r="Q19" s="44"/>
      <c r="R19" s="44"/>
      <c r="S19" s="44"/>
      <c r="T19" s="44"/>
      <c r="U19" s="44"/>
      <c r="V19" s="44"/>
      <c r="W19" s="44"/>
      <c r="X19" s="44"/>
      <c r="Y19" s="44"/>
      <c r="Z19" s="44"/>
      <c r="AA19" s="44"/>
      <c r="AB19" s="44"/>
      <c r="AC19" s="44"/>
      <c r="AD19" s="44"/>
      <c r="AE19" s="44"/>
    </row>
    <row r="20" customFormat="false" ht="12.75" hidden="false" customHeight="true" outlineLevel="0" collapsed="false">
      <c r="A20" s="51"/>
      <c r="B20" s="47" t="s">
        <v>52</v>
      </c>
      <c r="C20" s="44" t="n">
        <f aca="false">COUNTIFS('Liste Test'!H:H,B20,'Liste Test'!A:A,A$19,'Liste Test'!I:I,"&gt;0")</f>
        <v>0</v>
      </c>
      <c r="D20" s="44"/>
      <c r="E20" s="52"/>
      <c r="F20" s="47" t="s">
        <v>52</v>
      </c>
      <c r="G20" s="44" t="n">
        <f aca="false">COUNTIFS('Liste Test'!H:H,F20,'Liste Test'!A:A,E$19,'Liste Test'!I:I,"&gt;0")</f>
        <v>1</v>
      </c>
      <c r="H20" s="44"/>
      <c r="I20" s="46" t="n">
        <v>4</v>
      </c>
      <c r="J20" s="4" t="s">
        <v>18</v>
      </c>
      <c r="K20" s="44" t="n">
        <f aca="false">COUNTIFS('Liste Test'!H:H,J20,'Liste Test'!I:I,I20)</f>
        <v>11</v>
      </c>
      <c r="L20" s="44"/>
      <c r="M20" s="44"/>
      <c r="N20" s="44"/>
      <c r="O20" s="44"/>
      <c r="P20" s="44"/>
      <c r="Q20" s="44"/>
      <c r="R20" s="44"/>
      <c r="S20" s="44"/>
      <c r="T20" s="44"/>
      <c r="U20" s="44"/>
      <c r="V20" s="44"/>
      <c r="W20" s="44"/>
      <c r="X20" s="44"/>
      <c r="Y20" s="44"/>
      <c r="Z20" s="44"/>
      <c r="AA20" s="44"/>
      <c r="AB20" s="44"/>
      <c r="AC20" s="44"/>
      <c r="AD20" s="44"/>
      <c r="AE20" s="44"/>
    </row>
    <row r="21" customFormat="false" ht="12.75" hidden="false" customHeight="true" outlineLevel="0" collapsed="false">
      <c r="A21" s="51"/>
      <c r="B21" s="48" t="s">
        <v>357</v>
      </c>
      <c r="C21" s="44" t="n">
        <f aca="false">COUNTIFS('Liste Test'!H:H,B21,'Liste Test'!A:A,A$19,'Liste Test'!I:I,"&gt;0")</f>
        <v>0</v>
      </c>
      <c r="D21" s="44"/>
      <c r="E21" s="52"/>
      <c r="F21" s="48" t="s">
        <v>357</v>
      </c>
      <c r="G21" s="44" t="n">
        <f aca="false">COUNTIFS('Liste Test'!H:H,F21,'Liste Test'!A:A,E$19,'Liste Test'!I:I,"&gt;0")</f>
        <v>0</v>
      </c>
      <c r="H21" s="44"/>
      <c r="I21" s="46"/>
      <c r="J21" s="47" t="s">
        <v>52</v>
      </c>
      <c r="K21" s="44" t="n">
        <f aca="false">COUNTIFS('Liste Test'!H:H,J21,'Liste Test'!I:I,I20)</f>
        <v>1</v>
      </c>
      <c r="L21" s="44"/>
      <c r="M21" s="44"/>
      <c r="N21" s="44"/>
      <c r="O21" s="44"/>
      <c r="P21" s="44"/>
      <c r="Q21" s="44"/>
      <c r="R21" s="44"/>
      <c r="S21" s="44"/>
      <c r="T21" s="44"/>
      <c r="U21" s="44"/>
      <c r="V21" s="44"/>
      <c r="W21" s="44"/>
      <c r="X21" s="44"/>
      <c r="Y21" s="44"/>
      <c r="Z21" s="44"/>
      <c r="AA21" s="44"/>
      <c r="AB21" s="44"/>
      <c r="AC21" s="44"/>
      <c r="AD21" s="44"/>
      <c r="AE21" s="44"/>
    </row>
    <row r="22" customFormat="false" ht="12.75" hidden="false" customHeight="true" outlineLevel="0" collapsed="false">
      <c r="A22" s="51"/>
      <c r="B22" s="49" t="s">
        <v>358</v>
      </c>
      <c r="C22" s="44" t="n">
        <f aca="false">COUNTIFS('Liste Test'!H:H,B22,'Liste Test'!A:A,A$19,'Liste Test'!I:I,"&gt;0")</f>
        <v>0</v>
      </c>
      <c r="D22" s="44"/>
      <c r="E22" s="52"/>
      <c r="F22" s="49" t="s">
        <v>358</v>
      </c>
      <c r="G22" s="44" t="n">
        <f aca="false">COUNTIFS('Liste Test'!H:H,F22,'Liste Test'!A:A,E$19,'Liste Test'!I:I,"&gt;0")</f>
        <v>0</v>
      </c>
      <c r="H22" s="44"/>
      <c r="I22" s="46"/>
      <c r="J22" s="48" t="s">
        <v>357</v>
      </c>
      <c r="K22" s="44" t="n">
        <f aca="false">COUNTIFS('Liste Test'!H:H,J22,'Liste Test'!I:I,I20)</f>
        <v>0</v>
      </c>
      <c r="L22" s="44"/>
      <c r="M22" s="44"/>
      <c r="N22" s="44"/>
      <c r="O22" s="44"/>
      <c r="P22" s="44"/>
      <c r="Q22" s="44"/>
      <c r="R22" s="44"/>
      <c r="S22" s="44"/>
      <c r="T22" s="44"/>
      <c r="U22" s="44"/>
      <c r="V22" s="44"/>
      <c r="W22" s="44"/>
      <c r="X22" s="44"/>
      <c r="Y22" s="44"/>
      <c r="Z22" s="44"/>
      <c r="AA22" s="44"/>
      <c r="AB22" s="44"/>
      <c r="AC22" s="44"/>
      <c r="AD22" s="44"/>
      <c r="AE22" s="44"/>
    </row>
    <row r="23" customFormat="false" ht="12.75" hidden="false" customHeight="true" outlineLevel="0" collapsed="false">
      <c r="A23" s="51"/>
      <c r="B23" s="50" t="s">
        <v>91</v>
      </c>
      <c r="C23" s="44" t="n">
        <f aca="false">COUNTIFS('Liste Test'!H:H,B23,'Liste Test'!A:A,A$19,'Liste Test'!I:I,"&gt;0")</f>
        <v>0</v>
      </c>
      <c r="D23" s="44"/>
      <c r="E23" s="52"/>
      <c r="F23" s="50" t="s">
        <v>91</v>
      </c>
      <c r="G23" s="44" t="n">
        <f aca="false">COUNTIFS('Liste Test'!H:H,F23,'Liste Test'!A:A,E$19,'Liste Test'!I:I,"&gt;0")</f>
        <v>0</v>
      </c>
      <c r="H23" s="44"/>
      <c r="I23" s="46"/>
      <c r="J23" s="49" t="s">
        <v>358</v>
      </c>
      <c r="K23" s="44" t="n">
        <f aca="false">COUNTIFS('Liste Test'!H:H,J23,'Liste Test'!I:I,I20)</f>
        <v>0</v>
      </c>
      <c r="L23" s="44"/>
      <c r="M23" s="44"/>
      <c r="N23" s="44"/>
      <c r="O23" s="44"/>
      <c r="P23" s="44"/>
      <c r="Q23" s="44"/>
      <c r="R23" s="44"/>
      <c r="S23" s="44"/>
      <c r="T23" s="44"/>
      <c r="U23" s="44"/>
      <c r="V23" s="44"/>
      <c r="W23" s="44"/>
      <c r="X23" s="44"/>
      <c r="Y23" s="44"/>
      <c r="Z23" s="44"/>
      <c r="AA23" s="44"/>
      <c r="AB23" s="44"/>
      <c r="AC23" s="44"/>
      <c r="AD23" s="44"/>
      <c r="AE23" s="44"/>
    </row>
    <row r="24" customFormat="false" ht="12.75" hidden="false" customHeight="true" outlineLevel="0" collapsed="false">
      <c r="A24" s="53" t="s">
        <v>46</v>
      </c>
      <c r="B24" s="4" t="s">
        <v>18</v>
      </c>
      <c r="C24" s="44" t="n">
        <f aca="false">COUNTIFS('Liste Test'!H:H,B24,'Liste Test'!A:A,A$24,'Liste Test'!I:I, "&gt;0")</f>
        <v>9</v>
      </c>
      <c r="D24" s="44"/>
      <c r="E24" s="54" t="s">
        <v>248</v>
      </c>
      <c r="F24" s="4" t="s">
        <v>18</v>
      </c>
      <c r="G24" s="44" t="n">
        <f aca="false">COUNTIFS('Liste Test'!H:H,F24,'Liste Test'!A:A,E$24,'Liste Test'!I:I, "&gt;0")</f>
        <v>4</v>
      </c>
      <c r="H24" s="44"/>
      <c r="I24" s="46"/>
      <c r="J24" s="50" t="s">
        <v>91</v>
      </c>
      <c r="K24" s="44" t="n">
        <f aca="false">COUNTIFS('Liste Test'!H:H,J24,'Liste Test'!I:I,I20)</f>
        <v>4</v>
      </c>
      <c r="L24" s="44"/>
      <c r="M24" s="44"/>
      <c r="N24" s="44"/>
      <c r="O24" s="44"/>
      <c r="P24" s="44"/>
      <c r="Q24" s="44"/>
      <c r="R24" s="44"/>
      <c r="S24" s="44"/>
      <c r="T24" s="44"/>
      <c r="U24" s="44"/>
      <c r="V24" s="44"/>
      <c r="W24" s="44"/>
      <c r="X24" s="44"/>
      <c r="Y24" s="44"/>
      <c r="Z24" s="44"/>
      <c r="AA24" s="44"/>
      <c r="AB24" s="44"/>
      <c r="AC24" s="44"/>
      <c r="AD24" s="44"/>
      <c r="AE24" s="44"/>
    </row>
    <row r="25" customFormat="false" ht="12.75" hidden="false" customHeight="true" outlineLevel="0" collapsed="false">
      <c r="A25" s="53"/>
      <c r="B25" s="47" t="s">
        <v>52</v>
      </c>
      <c r="C25" s="44" t="n">
        <f aca="false">COUNTIFS('Liste Test'!H:H,B25,'Liste Test'!A:A,A$24,'Liste Test'!I:I,"&gt;0")</f>
        <v>1</v>
      </c>
      <c r="D25" s="44"/>
      <c r="E25" s="54"/>
      <c r="F25" s="47" t="s">
        <v>52</v>
      </c>
      <c r="G25" s="44" t="n">
        <f aca="false">COUNTIFS('Liste Test'!H:H,F25,'Liste Test'!A:A,E$24,'Liste Test'!I:I,"&gt;0")</f>
        <v>2</v>
      </c>
      <c r="L25" s="44"/>
      <c r="M25" s="44"/>
      <c r="N25" s="44"/>
      <c r="O25" s="44"/>
      <c r="P25" s="44"/>
      <c r="Q25" s="44"/>
      <c r="R25" s="44"/>
      <c r="S25" s="44"/>
      <c r="T25" s="44"/>
      <c r="U25" s="44"/>
      <c r="V25" s="44"/>
      <c r="W25" s="44"/>
      <c r="X25" s="44"/>
      <c r="Y25" s="44"/>
      <c r="Z25" s="44"/>
      <c r="AA25" s="44"/>
      <c r="AB25" s="44"/>
      <c r="AC25" s="44"/>
      <c r="AD25" s="44"/>
      <c r="AE25" s="44"/>
    </row>
    <row r="26" customFormat="false" ht="12.75" hidden="false" customHeight="true" outlineLevel="0" collapsed="false">
      <c r="A26" s="53"/>
      <c r="B26" s="48" t="s">
        <v>357</v>
      </c>
      <c r="C26" s="44" t="n">
        <f aca="false">COUNTIFS('Liste Test'!H:H,B26,'Liste Test'!A:A,A$24,'Liste Test'!I:I,"&gt;0")</f>
        <v>0</v>
      </c>
      <c r="D26" s="44"/>
      <c r="E26" s="54"/>
      <c r="F26" s="48" t="s">
        <v>357</v>
      </c>
      <c r="G26" s="44" t="n">
        <f aca="false">COUNTIFS('Liste Test'!H:H,F26,'Liste Test'!A:A,E$24,'Liste Test'!I:I,"&gt;0")</f>
        <v>0</v>
      </c>
      <c r="L26" s="44"/>
      <c r="M26" s="44"/>
      <c r="N26" s="44"/>
      <c r="O26" s="44"/>
      <c r="P26" s="44"/>
      <c r="Q26" s="44"/>
      <c r="R26" s="44"/>
      <c r="S26" s="44"/>
      <c r="T26" s="44"/>
      <c r="U26" s="44"/>
      <c r="V26" s="44"/>
      <c r="W26" s="44"/>
      <c r="X26" s="44"/>
      <c r="Y26" s="44"/>
      <c r="Z26" s="44"/>
      <c r="AA26" s="44"/>
      <c r="AB26" s="44"/>
      <c r="AC26" s="44"/>
      <c r="AD26" s="44"/>
      <c r="AE26" s="44"/>
    </row>
    <row r="27" customFormat="false" ht="12.75" hidden="false" customHeight="true" outlineLevel="0" collapsed="false">
      <c r="A27" s="53"/>
      <c r="B27" s="49" t="s">
        <v>358</v>
      </c>
      <c r="C27" s="44" t="n">
        <f aca="false">COUNTIFS('Liste Test'!H:H,B27,'Liste Test'!A:A,A$24,'Liste Test'!I:I,"&gt;0")</f>
        <v>0</v>
      </c>
      <c r="D27" s="44"/>
      <c r="E27" s="54"/>
      <c r="F27" s="49" t="s">
        <v>358</v>
      </c>
      <c r="G27" s="44" t="n">
        <f aca="false">COUNTIFS('Liste Test'!H:H,F27,'Liste Test'!A:A,E$24,'Liste Test'!I:I,"&gt;0")</f>
        <v>0</v>
      </c>
      <c r="L27" s="44"/>
      <c r="M27" s="44"/>
      <c r="N27" s="44"/>
      <c r="O27" s="44"/>
      <c r="P27" s="44"/>
      <c r="Q27" s="44"/>
      <c r="R27" s="44"/>
      <c r="S27" s="44"/>
      <c r="T27" s="44"/>
      <c r="U27" s="44"/>
      <c r="V27" s="44"/>
      <c r="W27" s="44"/>
      <c r="X27" s="44"/>
      <c r="Y27" s="44"/>
      <c r="Z27" s="44"/>
      <c r="AA27" s="44"/>
      <c r="AB27" s="44"/>
      <c r="AC27" s="44"/>
      <c r="AD27" s="44"/>
      <c r="AE27" s="44"/>
    </row>
    <row r="28" customFormat="false" ht="12.75" hidden="false" customHeight="true" outlineLevel="0" collapsed="false">
      <c r="A28" s="53"/>
      <c r="B28" s="50" t="s">
        <v>91</v>
      </c>
      <c r="C28" s="44" t="n">
        <f aca="false">COUNTIFS('Liste Test'!H:H,B28,'Liste Test'!A:A,A$24,'Liste Test'!I:I,"&gt;0")</f>
        <v>1</v>
      </c>
      <c r="D28" s="44"/>
      <c r="E28" s="54"/>
      <c r="F28" s="50" t="s">
        <v>91</v>
      </c>
      <c r="G28" s="44" t="n">
        <f aca="false">COUNTIFS('Liste Test'!H:H,F28,'Liste Test'!A:A,E$24,'Liste Test'!I:I,"&gt;0")</f>
        <v>1</v>
      </c>
      <c r="L28" s="44"/>
      <c r="M28" s="44"/>
      <c r="N28" s="44"/>
      <c r="O28" s="44"/>
      <c r="P28" s="44"/>
      <c r="Q28" s="44"/>
      <c r="R28" s="44"/>
      <c r="S28" s="44"/>
      <c r="T28" s="44"/>
      <c r="U28" s="44"/>
      <c r="V28" s="44"/>
      <c r="W28" s="44"/>
      <c r="X28" s="44"/>
      <c r="Y28" s="44"/>
      <c r="Z28" s="44"/>
      <c r="AA28" s="44"/>
      <c r="AB28" s="44"/>
      <c r="AC28" s="44"/>
      <c r="AD28" s="44"/>
      <c r="AE28" s="44"/>
    </row>
    <row r="29" customFormat="false" ht="12.75" hidden="false" customHeight="true" outlineLevel="0" collapsed="false">
      <c r="A29" s="55" t="s">
        <v>93</v>
      </c>
      <c r="B29" s="4" t="s">
        <v>18</v>
      </c>
      <c r="C29" s="44" t="n">
        <f aca="false">COUNTIFS('Liste Test'!H:H,B29,'Liste Test'!A:A,A$29,'Liste Test'!I:I, "&gt;0")</f>
        <v>8</v>
      </c>
      <c r="D29" s="44"/>
      <c r="E29" s="56" t="s">
        <v>279</v>
      </c>
      <c r="F29" s="4" t="s">
        <v>18</v>
      </c>
      <c r="G29" s="44" t="n">
        <f aca="false">COUNTIFS('Liste Test'!H:H,F29,'Liste Test'!A:A,E$29,'Liste Test'!I:I, "&gt;0")</f>
        <v>6</v>
      </c>
      <c r="L29" s="44"/>
      <c r="M29" s="44"/>
      <c r="N29" s="44"/>
      <c r="O29" s="44"/>
      <c r="P29" s="44"/>
      <c r="Q29" s="44"/>
      <c r="R29" s="44"/>
      <c r="S29" s="44"/>
      <c r="T29" s="44"/>
      <c r="U29" s="44"/>
      <c r="V29" s="44"/>
      <c r="W29" s="44"/>
      <c r="X29" s="44"/>
      <c r="Y29" s="44"/>
      <c r="Z29" s="44"/>
      <c r="AA29" s="44"/>
      <c r="AB29" s="44"/>
      <c r="AC29" s="44"/>
      <c r="AD29" s="44"/>
      <c r="AE29" s="44"/>
    </row>
    <row r="30" customFormat="false" ht="12.75" hidden="false" customHeight="true" outlineLevel="0" collapsed="false">
      <c r="A30" s="55"/>
      <c r="B30" s="47" t="s">
        <v>52</v>
      </c>
      <c r="C30" s="44" t="n">
        <f aca="false">COUNTIFS('Liste Test'!H:H,B30,'Liste Test'!A:A,A$29,'Liste Test'!I:I,"&gt;0")</f>
        <v>0</v>
      </c>
      <c r="D30" s="44"/>
      <c r="E30" s="56"/>
      <c r="F30" s="47" t="s">
        <v>52</v>
      </c>
      <c r="G30" s="44" t="n">
        <f aca="false">COUNTIFS('Liste Test'!H:H,F30,'Liste Test'!A:A,E$29,'Liste Test'!I:I,"&gt;0")</f>
        <v>1</v>
      </c>
      <c r="L30" s="44"/>
      <c r="M30" s="44"/>
      <c r="N30" s="44"/>
      <c r="O30" s="44"/>
      <c r="P30" s="44"/>
      <c r="Q30" s="44"/>
      <c r="R30" s="44"/>
      <c r="S30" s="44"/>
      <c r="T30" s="44"/>
      <c r="U30" s="44"/>
      <c r="V30" s="44"/>
      <c r="W30" s="44"/>
      <c r="X30" s="44"/>
      <c r="Y30" s="44"/>
      <c r="Z30" s="44"/>
      <c r="AA30" s="44"/>
      <c r="AB30" s="44"/>
      <c r="AC30" s="44"/>
      <c r="AD30" s="44"/>
      <c r="AE30" s="44"/>
    </row>
    <row r="31" customFormat="false" ht="12.75" hidden="false" customHeight="true" outlineLevel="0" collapsed="false">
      <c r="A31" s="55"/>
      <c r="B31" s="48" t="s">
        <v>357</v>
      </c>
      <c r="C31" s="44" t="n">
        <f aca="false">COUNTIFS('Liste Test'!H:H,B31,'Liste Test'!A:A,A$29,'Liste Test'!I:I,"&gt;0")</f>
        <v>0</v>
      </c>
      <c r="D31" s="44"/>
      <c r="E31" s="56"/>
      <c r="F31" s="48" t="s">
        <v>357</v>
      </c>
      <c r="G31" s="44" t="n">
        <f aca="false">COUNTIFS('Liste Test'!H:H,F31,'Liste Test'!A:A,E$29,'Liste Test'!I:I,"&gt;0")</f>
        <v>0</v>
      </c>
      <c r="L31" s="44"/>
      <c r="M31" s="44"/>
      <c r="N31" s="44"/>
      <c r="O31" s="44"/>
      <c r="P31" s="44"/>
      <c r="Q31" s="44"/>
      <c r="R31" s="44"/>
      <c r="S31" s="44"/>
      <c r="T31" s="44"/>
      <c r="U31" s="44"/>
      <c r="V31" s="44"/>
      <c r="W31" s="44"/>
      <c r="X31" s="44"/>
      <c r="Y31" s="44"/>
      <c r="Z31" s="44"/>
      <c r="AA31" s="44"/>
      <c r="AB31" s="44"/>
      <c r="AC31" s="44"/>
      <c r="AD31" s="44"/>
      <c r="AE31" s="44"/>
    </row>
    <row r="32" customFormat="false" ht="12.75" hidden="false" customHeight="true" outlineLevel="0" collapsed="false">
      <c r="A32" s="55"/>
      <c r="B32" s="49" t="s">
        <v>358</v>
      </c>
      <c r="C32" s="44" t="n">
        <f aca="false">COUNTIFS('Liste Test'!H:H,B32,'Liste Test'!A:A,A$29,'Liste Test'!I:I,"&gt;0")</f>
        <v>0</v>
      </c>
      <c r="D32" s="44"/>
      <c r="E32" s="56"/>
      <c r="F32" s="49" t="s">
        <v>358</v>
      </c>
      <c r="G32" s="44" t="n">
        <f aca="false">COUNTIFS('Liste Test'!H:H,F32,'Liste Test'!A:A,E$29,'Liste Test'!I:I,"&gt;0")</f>
        <v>0</v>
      </c>
      <c r="L32" s="44"/>
      <c r="M32" s="44"/>
      <c r="N32" s="44"/>
      <c r="O32" s="44"/>
      <c r="P32" s="44"/>
      <c r="Q32" s="44"/>
      <c r="R32" s="44"/>
      <c r="S32" s="44"/>
      <c r="T32" s="44"/>
      <c r="U32" s="44"/>
      <c r="V32" s="44"/>
      <c r="W32" s="44"/>
      <c r="X32" s="44"/>
      <c r="Y32" s="44"/>
      <c r="Z32" s="44"/>
      <c r="AA32" s="44"/>
      <c r="AB32" s="44"/>
      <c r="AC32" s="44"/>
      <c r="AD32" s="44"/>
      <c r="AE32" s="44"/>
    </row>
    <row r="33" customFormat="false" ht="12.75" hidden="false" customHeight="true" outlineLevel="0" collapsed="false">
      <c r="A33" s="55"/>
      <c r="B33" s="50" t="s">
        <v>91</v>
      </c>
      <c r="C33" s="44" t="n">
        <f aca="false">COUNTIFS('Liste Test'!H:H,B33,'Liste Test'!A:A,A$29,'Liste Test'!I:I,"&gt;0")</f>
        <v>0</v>
      </c>
      <c r="D33" s="44"/>
      <c r="E33" s="56"/>
      <c r="F33" s="50" t="s">
        <v>91</v>
      </c>
      <c r="G33" s="44" t="n">
        <f aca="false">COUNTIFS('Liste Test'!H:H,F33,'Liste Test'!A:A,E$29,'Liste Test'!I:I,"&gt;0")</f>
        <v>0</v>
      </c>
      <c r="L33" s="44"/>
      <c r="M33" s="44"/>
      <c r="N33" s="44"/>
      <c r="O33" s="44"/>
      <c r="P33" s="44"/>
      <c r="Q33" s="44"/>
      <c r="R33" s="44"/>
      <c r="S33" s="44"/>
      <c r="T33" s="44"/>
      <c r="U33" s="44"/>
      <c r="V33" s="44"/>
      <c r="W33" s="44"/>
      <c r="X33" s="44"/>
      <c r="Y33" s="44"/>
      <c r="Z33" s="44"/>
      <c r="AA33" s="44"/>
      <c r="AB33" s="44"/>
      <c r="AC33" s="44"/>
      <c r="AD33" s="44"/>
      <c r="AE33" s="44"/>
    </row>
    <row r="34" customFormat="false" ht="12.75" hidden="false" customHeight="true" outlineLevel="0" collapsed="false">
      <c r="A34" s="57" t="s">
        <v>131</v>
      </c>
      <c r="B34" s="4" t="s">
        <v>18</v>
      </c>
      <c r="C34" s="44" t="n">
        <f aca="false">COUNTIFS('Liste Test'!H:H,B34,'Liste Test'!A:A,A$34,'Liste Test'!I:I, "&gt;0")</f>
        <v>6</v>
      </c>
      <c r="D34" s="44"/>
      <c r="E34" s="58" t="s">
        <v>308</v>
      </c>
      <c r="F34" s="4" t="s">
        <v>18</v>
      </c>
      <c r="G34" s="44" t="n">
        <f aca="false">COUNTIFS('Liste Test'!H:H,F34,'Liste Test'!A:A,E$34,'Liste Test'!I:I, "&gt;0")</f>
        <v>1</v>
      </c>
      <c r="L34" s="44"/>
      <c r="M34" s="44"/>
      <c r="N34" s="44"/>
      <c r="O34" s="44"/>
      <c r="P34" s="44"/>
      <c r="Q34" s="44"/>
      <c r="R34" s="44"/>
      <c r="S34" s="44"/>
      <c r="T34" s="44"/>
      <c r="U34" s="44"/>
      <c r="V34" s="44"/>
      <c r="W34" s="44"/>
      <c r="X34" s="44"/>
      <c r="Y34" s="44"/>
      <c r="Z34" s="44"/>
      <c r="AA34" s="44"/>
      <c r="AB34" s="44"/>
      <c r="AC34" s="44"/>
      <c r="AD34" s="44"/>
      <c r="AE34" s="44"/>
    </row>
    <row r="35" customFormat="false" ht="12.75" hidden="false" customHeight="true" outlineLevel="0" collapsed="false">
      <c r="A35" s="57"/>
      <c r="B35" s="47" t="s">
        <v>52</v>
      </c>
      <c r="C35" s="44" t="n">
        <f aca="false">COUNTIFS('Liste Test'!H:H,B35,'Liste Test'!A:A,A$34,'Liste Test'!I:I,"&gt;0")</f>
        <v>0</v>
      </c>
      <c r="D35" s="44"/>
      <c r="E35" s="58"/>
      <c r="F35" s="47" t="s">
        <v>52</v>
      </c>
      <c r="G35" s="44" t="n">
        <f aca="false">COUNTIFS('Liste Test'!H:H,F35,'Liste Test'!A:A,E$34,'Liste Test'!I:I,"&gt;0")</f>
        <v>3</v>
      </c>
      <c r="L35" s="44"/>
      <c r="M35" s="44"/>
      <c r="N35" s="44"/>
      <c r="O35" s="44"/>
      <c r="P35" s="44"/>
      <c r="Q35" s="44"/>
      <c r="R35" s="44"/>
      <c r="S35" s="44"/>
      <c r="T35" s="44"/>
      <c r="U35" s="44"/>
      <c r="V35" s="44"/>
      <c r="W35" s="44"/>
      <c r="X35" s="44"/>
      <c r="Y35" s="44"/>
      <c r="Z35" s="44"/>
      <c r="AA35" s="44"/>
      <c r="AB35" s="44"/>
      <c r="AC35" s="44"/>
      <c r="AD35" s="44"/>
      <c r="AE35" s="44"/>
    </row>
    <row r="36" customFormat="false" ht="12.75" hidden="false" customHeight="true" outlineLevel="0" collapsed="false">
      <c r="A36" s="57"/>
      <c r="B36" s="48" t="s">
        <v>357</v>
      </c>
      <c r="C36" s="44" t="n">
        <f aca="false">COUNTIFS('Liste Test'!H:H,B36,'Liste Test'!A:A,A$34,'Liste Test'!I:I,"&gt;0")</f>
        <v>0</v>
      </c>
      <c r="D36" s="44"/>
      <c r="E36" s="58"/>
      <c r="F36" s="48" t="s">
        <v>357</v>
      </c>
      <c r="G36" s="44" t="n">
        <f aca="false">COUNTIFS('Liste Test'!H:H,F36,'Liste Test'!A:A,E$34,'Liste Test'!I:I,"&gt;0")</f>
        <v>0</v>
      </c>
      <c r="L36" s="44"/>
      <c r="M36" s="44"/>
      <c r="N36" s="44"/>
      <c r="O36" s="44"/>
      <c r="P36" s="44"/>
      <c r="Q36" s="44"/>
      <c r="R36" s="44"/>
      <c r="S36" s="44"/>
      <c r="T36" s="44"/>
      <c r="U36" s="44"/>
      <c r="V36" s="44"/>
      <c r="W36" s="44"/>
      <c r="X36" s="44"/>
      <c r="Y36" s="44"/>
      <c r="Z36" s="44"/>
      <c r="AA36" s="44"/>
      <c r="AB36" s="44"/>
      <c r="AC36" s="44"/>
      <c r="AD36" s="44"/>
      <c r="AE36" s="44"/>
    </row>
    <row r="37" customFormat="false" ht="12.75" hidden="false" customHeight="true" outlineLevel="0" collapsed="false">
      <c r="A37" s="57"/>
      <c r="B37" s="49" t="s">
        <v>358</v>
      </c>
      <c r="C37" s="44" t="n">
        <f aca="false">COUNTIFS('Liste Test'!H:H,B37,'Liste Test'!A:A,A$34,'Liste Test'!I:I,"&gt;0")</f>
        <v>0</v>
      </c>
      <c r="D37" s="44"/>
      <c r="E37" s="58"/>
      <c r="F37" s="49" t="s">
        <v>358</v>
      </c>
      <c r="G37" s="44" t="n">
        <f aca="false">COUNTIFS('Liste Test'!H:H,F37,'Liste Test'!A:A,E$34,'Liste Test'!I:I,"&gt;0")</f>
        <v>0</v>
      </c>
      <c r="L37" s="44"/>
      <c r="M37" s="44"/>
      <c r="N37" s="44"/>
      <c r="O37" s="44"/>
      <c r="P37" s="44"/>
      <c r="Q37" s="44"/>
      <c r="R37" s="44"/>
      <c r="S37" s="44"/>
      <c r="T37" s="44"/>
      <c r="U37" s="44"/>
      <c r="V37" s="44"/>
      <c r="W37" s="44"/>
      <c r="X37" s="44"/>
      <c r="Y37" s="44"/>
      <c r="Z37" s="44"/>
      <c r="AA37" s="44"/>
      <c r="AB37" s="44"/>
      <c r="AC37" s="44"/>
      <c r="AD37" s="44"/>
      <c r="AE37" s="44"/>
    </row>
    <row r="38" customFormat="false" ht="12.75" hidden="false" customHeight="true" outlineLevel="0" collapsed="false">
      <c r="A38" s="57"/>
      <c r="B38" s="50" t="s">
        <v>91</v>
      </c>
      <c r="C38" s="44" t="n">
        <f aca="false">COUNTIFS('Liste Test'!H:H,B38,'Liste Test'!A:A,A$34,'Liste Test'!I:I,"&gt;0")</f>
        <v>0</v>
      </c>
      <c r="D38" s="44"/>
      <c r="E38" s="58"/>
      <c r="F38" s="50" t="s">
        <v>91</v>
      </c>
      <c r="G38" s="44" t="n">
        <f aca="false">COUNTIFS('Liste Test'!H:H,F38,'Liste Test'!A:A,E$34,'Liste Test'!I:I,"&gt;0")</f>
        <v>2</v>
      </c>
      <c r="L38" s="44"/>
      <c r="M38" s="44"/>
      <c r="N38" s="44"/>
      <c r="O38" s="44"/>
      <c r="P38" s="44"/>
      <c r="Q38" s="44"/>
      <c r="R38" s="44"/>
      <c r="S38" s="44"/>
      <c r="T38" s="44"/>
      <c r="U38" s="44"/>
      <c r="V38" s="44"/>
      <c r="W38" s="44"/>
      <c r="X38" s="44"/>
      <c r="Y38" s="44"/>
      <c r="Z38" s="44"/>
      <c r="AA38" s="44"/>
      <c r="AB38" s="44"/>
      <c r="AC38" s="44"/>
      <c r="AD38" s="44"/>
      <c r="AE38" s="44"/>
    </row>
    <row r="39" customFormat="false" ht="12.75" hidden="false" customHeight="true" outlineLevel="0" collapsed="false">
      <c r="A39" s="59" t="s">
        <v>156</v>
      </c>
      <c r="B39" s="4" t="s">
        <v>18</v>
      </c>
      <c r="C39" s="44" t="n">
        <f aca="false">COUNTIFS('Liste Test'!H:H,B39,'Liste Test'!A:A,A$39,'Liste Test'!I:I, "&gt;0")</f>
        <v>10</v>
      </c>
      <c r="D39" s="44"/>
      <c r="E39" s="60" t="s">
        <v>334</v>
      </c>
      <c r="F39" s="4" t="s">
        <v>18</v>
      </c>
      <c r="G39" s="44" t="n">
        <f aca="false">COUNTIFS('Liste Test'!H:H,F39,'Liste Test'!A:A,E$39,'Liste Test'!I:I, "&gt;0")</f>
        <v>5</v>
      </c>
      <c r="L39" s="44"/>
      <c r="M39" s="44"/>
      <c r="N39" s="44"/>
      <c r="O39" s="44"/>
      <c r="P39" s="44"/>
      <c r="Q39" s="44"/>
      <c r="R39" s="44"/>
      <c r="S39" s="44"/>
      <c r="T39" s="44"/>
      <c r="U39" s="44"/>
      <c r="V39" s="44"/>
      <c r="W39" s="44"/>
      <c r="X39" s="44"/>
      <c r="Y39" s="44"/>
      <c r="Z39" s="44"/>
      <c r="AA39" s="44"/>
      <c r="AB39" s="44"/>
      <c r="AC39" s="44"/>
      <c r="AD39" s="44"/>
      <c r="AE39" s="44"/>
    </row>
    <row r="40" customFormat="false" ht="12.75" hidden="false" customHeight="true" outlineLevel="0" collapsed="false">
      <c r="A40" s="59"/>
      <c r="B40" s="47" t="s">
        <v>52</v>
      </c>
      <c r="C40" s="44" t="n">
        <f aca="false">COUNTIFS('Liste Test'!H:H,B40,'Liste Test'!A:A,A$39,'Liste Test'!I:I,"&gt;0")</f>
        <v>3</v>
      </c>
      <c r="D40" s="44"/>
      <c r="E40" s="60"/>
      <c r="F40" s="47" t="s">
        <v>52</v>
      </c>
      <c r="G40" s="44" t="n">
        <f aca="false">COUNTIFS('Liste Test'!H:H,F40,'Liste Test'!A:A,E$39,'Liste Test'!I:I,"&gt;0")</f>
        <v>0</v>
      </c>
      <c r="L40" s="44"/>
      <c r="M40" s="44"/>
      <c r="N40" s="44"/>
      <c r="O40" s="44"/>
      <c r="P40" s="44"/>
      <c r="Q40" s="44"/>
      <c r="R40" s="44"/>
      <c r="S40" s="44"/>
      <c r="T40" s="44"/>
      <c r="U40" s="44"/>
      <c r="V40" s="44"/>
      <c r="W40" s="44"/>
      <c r="X40" s="44"/>
      <c r="Y40" s="44"/>
      <c r="Z40" s="44"/>
      <c r="AA40" s="44"/>
      <c r="AB40" s="44"/>
      <c r="AC40" s="44"/>
      <c r="AD40" s="44"/>
      <c r="AE40" s="44"/>
    </row>
    <row r="41" customFormat="false" ht="12.75" hidden="false" customHeight="true" outlineLevel="0" collapsed="false">
      <c r="A41" s="59"/>
      <c r="B41" s="48" t="s">
        <v>357</v>
      </c>
      <c r="C41" s="44" t="n">
        <f aca="false">COUNTIFS('Liste Test'!H:H,B41,'Liste Test'!A:A,A$39,'Liste Test'!I:I,"&gt;0")</f>
        <v>0</v>
      </c>
      <c r="D41" s="44"/>
      <c r="E41" s="60"/>
      <c r="F41" s="48" t="s">
        <v>357</v>
      </c>
      <c r="G41" s="44" t="n">
        <f aca="false">COUNTIFS('Liste Test'!H:H,F41,'Liste Test'!A:A,E$39,'Liste Test'!I:I,"&gt;0")</f>
        <v>0</v>
      </c>
      <c r="L41" s="44"/>
      <c r="M41" s="44"/>
      <c r="N41" s="44"/>
      <c r="O41" s="44"/>
      <c r="P41" s="44"/>
      <c r="Q41" s="44"/>
      <c r="R41" s="44"/>
      <c r="S41" s="44"/>
      <c r="T41" s="44"/>
      <c r="U41" s="44"/>
      <c r="V41" s="44"/>
      <c r="W41" s="44"/>
      <c r="X41" s="44"/>
      <c r="Y41" s="44"/>
      <c r="Z41" s="44"/>
      <c r="AA41" s="44"/>
      <c r="AB41" s="44"/>
      <c r="AC41" s="44"/>
      <c r="AD41" s="44"/>
      <c r="AE41" s="44"/>
    </row>
    <row r="42" customFormat="false" ht="12.75" hidden="false" customHeight="true" outlineLevel="0" collapsed="false">
      <c r="A42" s="59"/>
      <c r="B42" s="49" t="s">
        <v>358</v>
      </c>
      <c r="C42" s="44" t="n">
        <f aca="false">COUNTIFS('Liste Test'!H:H,B42,'Liste Test'!A:A,A$39,'Liste Test'!I:I,"&gt;0")</f>
        <v>0</v>
      </c>
      <c r="D42" s="44"/>
      <c r="E42" s="60"/>
      <c r="F42" s="49" t="s">
        <v>358</v>
      </c>
      <c r="G42" s="44" t="n">
        <f aca="false">COUNTIFS('Liste Test'!H:H,F42,'Liste Test'!A:A,E$39,'Liste Test'!I:I,"&gt;0")</f>
        <v>0</v>
      </c>
      <c r="L42" s="44"/>
      <c r="M42" s="44"/>
      <c r="N42" s="44"/>
      <c r="O42" s="44"/>
      <c r="P42" s="44"/>
      <c r="Q42" s="44"/>
      <c r="R42" s="44"/>
      <c r="S42" s="44"/>
      <c r="T42" s="44"/>
      <c r="U42" s="44"/>
      <c r="V42" s="44"/>
      <c r="W42" s="44"/>
      <c r="X42" s="44"/>
      <c r="Y42" s="44"/>
      <c r="Z42" s="44"/>
      <c r="AA42" s="44"/>
      <c r="AB42" s="44"/>
      <c r="AC42" s="44"/>
      <c r="AD42" s="44"/>
      <c r="AE42" s="44"/>
    </row>
    <row r="43" customFormat="false" ht="12.75" hidden="false" customHeight="true" outlineLevel="0" collapsed="false">
      <c r="A43" s="59"/>
      <c r="B43" s="50" t="s">
        <v>91</v>
      </c>
      <c r="C43" s="44" t="n">
        <f aca="false">COUNTIFS('Liste Test'!H:H,B43,'Liste Test'!A:A,A$39,'Liste Test'!I:I,"&gt;0")</f>
        <v>2</v>
      </c>
      <c r="D43" s="44"/>
      <c r="E43" s="60"/>
      <c r="F43" s="50" t="s">
        <v>91</v>
      </c>
      <c r="G43" s="44" t="n">
        <f aca="false">COUNTIFS('Liste Test'!H:H,F43,'Liste Test'!A:A,E$39,'Liste Test'!I:I,"&gt;0")</f>
        <v>0</v>
      </c>
      <c r="L43" s="44"/>
      <c r="M43" s="44"/>
      <c r="N43" s="44"/>
      <c r="O43" s="44"/>
      <c r="P43" s="44"/>
      <c r="Q43" s="44"/>
      <c r="R43" s="44"/>
      <c r="S43" s="44"/>
      <c r="T43" s="44"/>
      <c r="U43" s="44"/>
      <c r="V43" s="44"/>
      <c r="W43" s="44"/>
      <c r="X43" s="44"/>
      <c r="Y43" s="44"/>
      <c r="Z43" s="44"/>
      <c r="AA43" s="44"/>
      <c r="AB43" s="44"/>
      <c r="AC43" s="44"/>
      <c r="AD43" s="44"/>
      <c r="AE43" s="44"/>
    </row>
  </sheetData>
  <sheetProtection algorithmName="SHA-512" hashValue="ToTwvgN5M9xrLns+YUBulbqpL4qh7HlIPPe9+bdj8MWXCJcTG4qePwoTv7KZjwNmRamLhf/BzrWa3GkS35TYog==" saltValue="+z6xF8Uy25laeaMJhXzxxA==" spinCount="100000" sheet="true"/>
  <mergeCells count="14">
    <mergeCell ref="I5:I9"/>
    <mergeCell ref="I10:I14"/>
    <mergeCell ref="I15:I19"/>
    <mergeCell ref="A19:A23"/>
    <mergeCell ref="E19:E23"/>
    <mergeCell ref="I20:I24"/>
    <mergeCell ref="A24:A28"/>
    <mergeCell ref="E24:E28"/>
    <mergeCell ref="A29:A33"/>
    <mergeCell ref="E29:E33"/>
    <mergeCell ref="A34:A38"/>
    <mergeCell ref="E34:E38"/>
    <mergeCell ref="A39:A43"/>
    <mergeCell ref="E39:E43"/>
  </mergeCells>
  <dataValidations count="1">
    <dataValidation allowBlank="false" errorStyle="stop" operator="between" showDropDown="false" showErrorMessage="true" showInputMessage="false" sqref="A3:J90" type="none">
      <formula1>0</formula1>
      <formula2>0</formula2>
    </dataValidation>
  </dataValidations>
  <printOptions headings="false" gridLines="false" gridLinesSet="true" horizontalCentered="true" verticalCentered="false"/>
  <pageMargins left="0.700694444444445" right="0.700694444444445" top="0.752083333333333" bottom="0.752083333333333" header="0.3" footer="0.3"/>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&amp;C&amp;"Arial,Gras"Page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2026-01-31T16:24:00Z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